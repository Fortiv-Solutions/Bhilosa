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3D940022-3928-4E62-BB96-48B5535393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ll-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" i="5" l="1"/>
  <c r="N16" i="5"/>
  <c r="N15" i="5"/>
  <c r="N13" i="5"/>
  <c r="N12" i="5"/>
  <c r="N11" i="5"/>
  <c r="N14" i="5" l="1"/>
  <c r="N22" i="5" l="1"/>
</calcChain>
</file>

<file path=xl/sharedStrings.xml><?xml version="1.0" encoding="utf-8"?>
<sst xmlns="http://schemas.openxmlformats.org/spreadsheetml/2006/main" count="40" uniqueCount="35">
  <si>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</si>
  <si>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</si>
  <si>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</si>
  <si>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</si>
  <si>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</si>
  <si>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</si>
  <si>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</si>
  <si>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</si>
  <si>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</si>
  <si>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</si>
  <si>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Rate</t>
  </si>
  <si>
    <t>Amount</t>
  </si>
  <si>
    <t>Sr.
No.</t>
  </si>
  <si>
    <t xml:space="preserve">Advance Payment </t>
  </si>
  <si>
    <t>Balance Payment to be paid</t>
  </si>
  <si>
    <t xml:space="preserve">Approved By - </t>
  </si>
  <si>
    <t xml:space="preserve">Company Name </t>
  </si>
  <si>
    <t>Bill Date</t>
  </si>
  <si>
    <t xml:space="preserve">Total Bill Amount </t>
  </si>
  <si>
    <t>Invoice No.</t>
  </si>
  <si>
    <t>Central GST 9%</t>
  </si>
  <si>
    <t>State GST 9%</t>
  </si>
  <si>
    <t>Retention 5%</t>
  </si>
  <si>
    <t>-</t>
  </si>
  <si>
    <t>Debit</t>
  </si>
  <si>
    <t>No. of Flats</t>
  </si>
  <si>
    <t>To, 
Tanvi Infracon</t>
  </si>
  <si>
    <t>Parth Engineering Service</t>
  </si>
  <si>
    <t>Rebar Work</t>
  </si>
  <si>
    <t>Rebar work</t>
  </si>
  <si>
    <t>10mm Dia. Rebar work</t>
  </si>
  <si>
    <t>Nos.</t>
  </si>
  <si>
    <t>12mm Dia. Rebar work</t>
  </si>
  <si>
    <t>16mm Dia. Rebar work</t>
  </si>
  <si>
    <t>Three Thousand Seven Hundred Seventeen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</si>
</sst>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165" fontId="4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vertical="center"/>
    </xf>
    <xf numFmtId="165" fontId="5" fillId="0" borderId="0" xfId="1" applyNumberFormat="1" applyFont="1"/>
    <xf numFmtId="165" fontId="4" fillId="0" borderId="0" xfId="1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65" fontId="5" fillId="0" borderId="0" xfId="0" applyNumberFormat="1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wrapText="1"/>
    </xf>
    <xf numFmtId="15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E2:N34"/>
  <sheetViews>
    <sheetView tabSelected="1" workbookViewId="0">
      <selection activeCell="E2" sqref="E2:N30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3" width="10.08984375" style="1" bestFit="1" customWidth="1"/>
    <col min="14" max="14" width="12.453125" style="1" customWidth="1"/>
    <col min="15" max="16384" width="8.6328125" style="1"/>
  </cols>
  <sheetData>
    <row r="2" spans="5:14" ht="17.5" x14ac:dyDescent="0.35">
      <c r="E2" s="19" t="s">
        <v>0</v>
      </c>
      <c r="F2" s="19"/>
      <c r="G2" s="19"/>
      <c r="H2" s="19"/>
      <c r="I2" s="19"/>
      <c r="J2" s="19"/>
      <c r="K2" s="19"/>
      <c r="L2" s="19"/>
      <c r="M2" s="19"/>
      <c r="N2" s="19"/>
    </row>
    <row r="3" spans="5:14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5:14" ht="15.5" x14ac:dyDescent="0.35">
      <c r="E4" s="20" t="s">
        <v>16</v>
      </c>
      <c r="F4" s="20"/>
      <c r="G4" s="21" t="s">
        <v>27</v>
      </c>
      <c r="H4" s="21"/>
      <c r="I4" s="21"/>
      <c r="J4" s="21"/>
      <c r="K4" s="22" t="s">
        <v>19</v>
      </c>
      <c r="L4" s="22"/>
      <c r="M4" s="22"/>
      <c r="N4" s="7">
        <v>864</v>
      </c>
    </row>
    <row r="5" spans="5:14" ht="18.899999999999999" customHeight="1" x14ac:dyDescent="0.3">
      <c r="E5" s="23" t="s">
        <v>1</v>
      </c>
      <c r="F5" s="23"/>
      <c r="G5" s="24" t="s">
        <v>27</v>
      </c>
      <c r="H5" s="24"/>
      <c r="I5" s="24"/>
      <c r="J5" s="24"/>
      <c r="K5" s="24"/>
      <c r="L5" s="24"/>
      <c r="M5" s="24"/>
      <c r="N5" s="24"/>
    </row>
    <row r="6" spans="5:14" ht="30.9" customHeight="1" x14ac:dyDescent="0.35">
      <c r="E6" s="25" t="s">
        <v>26</v>
      </c>
      <c r="F6" s="25"/>
      <c r="G6" s="25"/>
      <c r="H6" s="25"/>
      <c r="I6" s="25"/>
      <c r="J6" s="25"/>
      <c r="K6" s="8" t="s">
        <v>2</v>
      </c>
      <c r="L6" s="8"/>
      <c r="M6" s="26">
        <v>45359</v>
      </c>
      <c r="N6" s="27"/>
    </row>
    <row r="7" spans="5:14" ht="20.149999999999999" customHeight="1" x14ac:dyDescent="0.3">
      <c r="E7" s="28" t="s">
        <v>3</v>
      </c>
      <c r="F7" s="28"/>
      <c r="G7" s="29" t="s">
        <v>28</v>
      </c>
      <c r="H7" s="29"/>
      <c r="I7" s="29"/>
      <c r="J7" s="29"/>
      <c r="K7" s="14" t="s">
        <v>17</v>
      </c>
      <c r="L7" s="14"/>
      <c r="M7" s="26">
        <v>45345</v>
      </c>
      <c r="N7" s="27"/>
    </row>
    <row r="8" spans="5:14" ht="18.899999999999999" customHeight="1" x14ac:dyDescent="0.3">
      <c r="E8" s="23" t="s">
        <v>5</v>
      </c>
      <c r="F8" s="23"/>
      <c r="G8" s="24" t="s">
        <v>29</v>
      </c>
      <c r="H8" s="24"/>
      <c r="I8" s="24"/>
      <c r="J8" s="24"/>
      <c r="K8" s="24"/>
      <c r="L8" s="24"/>
      <c r="M8" s="24"/>
      <c r="N8" s="24"/>
    </row>
    <row r="9" spans="5:14" ht="20.399999999999999" customHeight="1" x14ac:dyDescent="0.3">
      <c r="E9" s="23" t="s">
        <v>4</v>
      </c>
      <c r="F9" s="23"/>
      <c r="G9" s="23"/>
      <c r="H9" s="23"/>
      <c r="I9" s="23"/>
      <c r="J9" s="23"/>
      <c r="K9" s="23"/>
      <c r="L9" s="23"/>
      <c r="M9" s="23"/>
      <c r="N9" s="23"/>
    </row>
    <row r="10" spans="5:14" ht="30" x14ac:dyDescent="0.3">
      <c r="E10" s="2" t="s">
        <v>12</v>
      </c>
      <c r="F10" s="30" t="s">
        <v>6</v>
      </c>
      <c r="G10" s="30"/>
      <c r="H10" s="30"/>
      <c r="I10" s="3" t="s">
        <v>7</v>
      </c>
      <c r="J10" s="13" t="s">
        <v>8</v>
      </c>
      <c r="K10" s="13" t="s">
        <v>9</v>
      </c>
      <c r="L10" s="2" t="s">
        <v>25</v>
      </c>
      <c r="M10" s="14" t="s">
        <v>10</v>
      </c>
      <c r="N10" s="13" t="s">
        <v>11</v>
      </c>
    </row>
    <row r="11" spans="5:14" ht="33.9" customHeight="1" x14ac:dyDescent="0.3">
      <c r="E11" s="4">
        <v>1</v>
      </c>
      <c r="F11" s="29" t="s">
        <v>30</v>
      </c>
      <c r="G11" s="29"/>
      <c r="H11" s="29"/>
      <c r="I11" s="5">
        <v>1</v>
      </c>
      <c r="J11" s="12">
        <v>6</v>
      </c>
      <c r="K11" s="17" t="s">
        <v>31</v>
      </c>
      <c r="L11" s="4" t="s">
        <v>23</v>
      </c>
      <c r="M11" s="4">
        <v>80</v>
      </c>
      <c r="N11" s="9">
        <f>M11*J11</f>
        <v>480</v>
      </c>
    </row>
    <row r="12" spans="5:14" ht="33.9" customHeight="1" x14ac:dyDescent="0.3">
      <c r="E12" s="4">
        <v>2</v>
      </c>
      <c r="F12" s="29" t="s">
        <v>32</v>
      </c>
      <c r="G12" s="29"/>
      <c r="H12" s="29"/>
      <c r="I12" s="5">
        <v>1</v>
      </c>
      <c r="J12" s="12">
        <v>1</v>
      </c>
      <c r="K12" s="17" t="s">
        <v>31</v>
      </c>
      <c r="L12" s="4" t="s">
        <v>23</v>
      </c>
      <c r="M12" s="4">
        <v>110</v>
      </c>
      <c r="N12" s="9">
        <f>M12*J12</f>
        <v>110</v>
      </c>
    </row>
    <row r="13" spans="5:14" ht="33.9" customHeight="1" x14ac:dyDescent="0.3">
      <c r="E13" s="4">
        <v>3</v>
      </c>
      <c r="F13" s="29" t="s">
        <v>33</v>
      </c>
      <c r="G13" s="29"/>
      <c r="H13" s="29"/>
      <c r="I13" s="5">
        <v>1</v>
      </c>
      <c r="J13" s="12">
        <v>16</v>
      </c>
      <c r="K13" s="17" t="s">
        <v>31</v>
      </c>
      <c r="L13" s="4" t="s">
        <v>23</v>
      </c>
      <c r="M13" s="4">
        <v>160</v>
      </c>
      <c r="N13" s="9">
        <f>M13*J13</f>
        <v>2560</v>
      </c>
    </row>
    <row r="14" spans="5:14" ht="17.399999999999999" customHeight="1" x14ac:dyDescent="0.35">
      <c r="E14" s="16"/>
      <c r="F14" s="31" t="s">
        <v>18</v>
      </c>
      <c r="G14" s="31"/>
      <c r="H14" s="31"/>
      <c r="I14" s="31"/>
      <c r="J14" s="31"/>
      <c r="K14" s="31"/>
      <c r="L14" s="31"/>
      <c r="M14" s="31"/>
      <c r="N14" s="10">
        <f>SUM(N11:N13)</f>
        <v>3150</v>
      </c>
    </row>
    <row r="15" spans="5:14" ht="17.399999999999999" customHeight="1" x14ac:dyDescent="0.35">
      <c r="E15" s="16"/>
      <c r="F15" s="32" t="s">
        <v>20</v>
      </c>
      <c r="G15" s="32"/>
      <c r="H15" s="32"/>
      <c r="I15" s="32"/>
      <c r="J15" s="32"/>
      <c r="K15" s="32"/>
      <c r="L15" s="32"/>
      <c r="M15" s="32"/>
      <c r="N15" s="6">
        <f>N14*9%</f>
        <v>283.5</v>
      </c>
    </row>
    <row r="16" spans="5:14" ht="17.399999999999999" customHeight="1" x14ac:dyDescent="0.35">
      <c r="E16" s="16"/>
      <c r="F16" s="32" t="s">
        <v>21</v>
      </c>
      <c r="G16" s="32"/>
      <c r="H16" s="32"/>
      <c r="I16" s="32"/>
      <c r="J16" s="32"/>
      <c r="K16" s="32"/>
      <c r="L16" s="32"/>
      <c r="M16" s="32"/>
      <c r="N16" s="6">
        <f>N14*9%</f>
        <v>283.5</v>
      </c>
    </row>
    <row r="17" spans="5:14" ht="17.399999999999999" customHeight="1" x14ac:dyDescent="0.35">
      <c r="E17" s="16"/>
      <c r="F17" s="32" t="s">
        <v>24</v>
      </c>
      <c r="G17" s="32"/>
      <c r="H17" s="32"/>
      <c r="I17" s="32"/>
      <c r="J17" s="32"/>
      <c r="K17" s="32"/>
      <c r="L17" s="32"/>
      <c r="M17" s="32"/>
      <c r="N17" s="10"/>
    </row>
    <row r="18" spans="5:14" ht="17.399999999999999" customHeight="1" x14ac:dyDescent="0.35">
      <c r="E18" s="16"/>
      <c r="F18" s="13"/>
      <c r="G18" s="13"/>
      <c r="H18" s="13"/>
      <c r="I18" s="13"/>
      <c r="J18" s="13"/>
      <c r="K18" s="13"/>
      <c r="L18" s="13"/>
      <c r="M18" s="13"/>
      <c r="N18" s="10">
        <f>N14-N17+N15+N16</f>
        <v>3717</v>
      </c>
    </row>
    <row r="19" spans="5:14" ht="15.5" x14ac:dyDescent="0.35">
      <c r="E19" s="7"/>
      <c r="F19" s="33" t="s">
        <v>34</v>
      </c>
      <c r="G19" s="33"/>
      <c r="H19" s="33"/>
      <c r="I19" s="33"/>
      <c r="J19" s="33"/>
      <c r="K19" s="33"/>
      <c r="L19" s="33"/>
      <c r="M19" s="33"/>
      <c r="N19" s="33"/>
    </row>
    <row r="20" spans="5:14" ht="15.5" x14ac:dyDescent="0.35">
      <c r="E20" s="16"/>
      <c r="F20" s="21" t="s">
        <v>13</v>
      </c>
      <c r="G20" s="21"/>
      <c r="H20" s="21"/>
      <c r="I20" s="7"/>
      <c r="J20" s="7"/>
      <c r="K20" s="7"/>
      <c r="L20" s="7"/>
      <c r="M20" s="7"/>
      <c r="N20" s="11"/>
    </row>
    <row r="21" spans="5:14" ht="15.5" x14ac:dyDescent="0.35">
      <c r="E21" s="16"/>
      <c r="F21" s="21" t="s">
        <v>22</v>
      </c>
      <c r="G21" s="21"/>
      <c r="H21" s="21"/>
      <c r="I21" s="7"/>
      <c r="J21" s="7"/>
      <c r="K21" s="7"/>
      <c r="L21" s="7"/>
      <c r="M21" s="7"/>
      <c r="N21" s="11"/>
    </row>
    <row r="22" spans="5:14" ht="15.5" x14ac:dyDescent="0.35">
      <c r="E22" s="16"/>
      <c r="F22" s="21" t="s">
        <v>14</v>
      </c>
      <c r="G22" s="21"/>
      <c r="H22" s="21"/>
      <c r="I22" s="7"/>
      <c r="J22" s="7"/>
      <c r="K22" s="7"/>
      <c r="L22" s="7"/>
      <c r="M22" s="7"/>
      <c r="N22" s="18">
        <f>N18-N20-N21</f>
        <v>3717</v>
      </c>
    </row>
    <row r="23" spans="5:14" ht="15.5" x14ac:dyDescent="0.35"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5:14" x14ac:dyDescent="0.3"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spans="5:14" x14ac:dyDescent="0.3"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5:14" x14ac:dyDescent="0.3"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spans="5:14" x14ac:dyDescent="0.3">
      <c r="E27" s="23" t="s">
        <v>15</v>
      </c>
      <c r="F27" s="23"/>
      <c r="G27" s="23"/>
      <c r="H27" s="23"/>
      <c r="I27" s="23"/>
      <c r="J27" s="23"/>
      <c r="K27" s="23"/>
      <c r="L27" s="23"/>
      <c r="M27" s="23"/>
      <c r="N27" s="23"/>
    </row>
    <row r="28" spans="5:14" x14ac:dyDescent="0.3"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5:14" x14ac:dyDescent="0.3"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5:14" x14ac:dyDescent="0.3"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spans="5:14" x14ac:dyDescent="0.3"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spans="5:14" x14ac:dyDescent="0.3"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spans="5:14" ht="15.5" x14ac:dyDescent="0.35"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5:14" ht="15.5" x14ac:dyDescent="0.35">
      <c r="E34" s="7"/>
      <c r="F34" s="7"/>
      <c r="G34" s="7"/>
      <c r="H34" s="7"/>
      <c r="I34" s="7"/>
      <c r="J34" s="7"/>
      <c r="K34" s="7"/>
      <c r="L34" s="7"/>
      <c r="M34" s="7"/>
      <c r="N34" s="7"/>
    </row>
  </sheetData>
  <mergeCells count="30">
    <mergeCell ref="F13:H13"/>
    <mergeCell ref="F11:H11"/>
    <mergeCell ref="E31:N32"/>
    <mergeCell ref="F14:M14"/>
    <mergeCell ref="F15:M15"/>
    <mergeCell ref="F16:M16"/>
    <mergeCell ref="F17:M17"/>
    <mergeCell ref="F19:N19"/>
    <mergeCell ref="F20:H20"/>
    <mergeCell ref="F21:H21"/>
    <mergeCell ref="F22:H22"/>
    <mergeCell ref="E24:N26"/>
    <mergeCell ref="E27:N28"/>
    <mergeCell ref="E29:N30"/>
    <mergeCell ref="E8:F8"/>
    <mergeCell ref="G8:N8"/>
    <mergeCell ref="E9:N9"/>
    <mergeCell ref="F10:H10"/>
    <mergeCell ref="F12:H12"/>
    <mergeCell ref="E6:J6"/>
    <mergeCell ref="M6:N6"/>
    <mergeCell ref="E7:F7"/>
    <mergeCell ref="G7:J7"/>
    <mergeCell ref="M7:N7"/>
    <mergeCell ref="E2:N2"/>
    <mergeCell ref="E4:F4"/>
    <mergeCell ref="G4:J4"/>
    <mergeCell ref="K4:M4"/>
    <mergeCell ref="E5:F5"/>
    <mergeCell ref="G5:N5"/>
  </mergeCells>
  <pageMargins left="0.7" right="0.7" top="0.75" bottom="0.75" header="0.3" footer="0.3"/>
  <pageSetup paperSize="9" scale="54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2024-03-08T09:15:11Z</cp:lastPrinted>
  <dcterms:created xsi:type="dcterms:W3CDTF">2017-06-28T08:31:23Z</dcterms:created>
  <dcterms:modified xsi:type="dcterms:W3CDTF">2024-03-08T09:16:40Z</dcterms:modified>
</cp:coreProperties>
</file>