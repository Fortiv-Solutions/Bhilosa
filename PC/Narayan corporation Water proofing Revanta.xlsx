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A46392A7-66FC-42E2-86DC-D851E92CEFEA}" xr6:coauthVersionLast="47" xr6:coauthVersionMax="47" xr10:uidLastSave="{00000000-0000-0000-0000-000000000000}"/>
  <bookViews>
    <workbookView xWindow="-110" yWindow="-110" windowWidth="19420" windowHeight="10300" firstSheet="4" activeTab="15" xr2:uid="{00000000-000D-0000-FFFF-FFFF00000000}"/>
  </bookViews>
  <sheets>
    <sheet name="1" sheetId="21" r:id="rId1"/>
    <sheet name="2" sheetId="22" r:id="rId2"/>
    <sheet name="3" sheetId="23" r:id="rId3"/>
    <sheet name="4" sheetId="24" r:id="rId4"/>
    <sheet name="6" sheetId="25" r:id="rId5"/>
    <sheet name="7" sheetId="26" r:id="rId6"/>
    <sheet name="8" sheetId="27" r:id="rId7"/>
    <sheet name="9" sheetId="28" r:id="rId8"/>
    <sheet name="10" sheetId="29" r:id="rId9"/>
    <sheet name="11" sheetId="30" r:id="rId10"/>
    <sheet name="12" sheetId="31" r:id="rId11"/>
    <sheet name="13" sheetId="32" r:id="rId12"/>
    <sheet name="13-1" sheetId="33" r:id="rId13"/>
    <sheet name="14" sheetId="34" r:id="rId14"/>
    <sheet name="15" sheetId="35" r:id="rId15"/>
    <sheet name="16" sheetId="36" r:id="rId16"/>
    <sheet name="17" sheetId="37" r:id="rId17"/>
    <sheet name="18" sheetId="38" r:id="rId18"/>
    <sheet name="19" sheetId="3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" i="34" l="1"/>
  <c r="J14" i="39"/>
  <c r="J13" i="39"/>
  <c r="J16" i="39"/>
  <c r="J15" i="39"/>
  <c r="J12" i="39"/>
  <c r="J11" i="39"/>
  <c r="J15" i="38"/>
  <c r="J13" i="38"/>
  <c r="J12" i="38"/>
  <c r="J11" i="38"/>
  <c r="J14" i="38"/>
  <c r="J15" i="37"/>
  <c r="J11" i="37"/>
  <c r="J12" i="37" s="1"/>
  <c r="J16" i="36"/>
  <c r="J17" i="39" l="1"/>
  <c r="J18" i="39" s="1"/>
  <c r="J20" i="39" s="1"/>
  <c r="J16" i="38"/>
  <c r="J18" i="38" s="1"/>
  <c r="J13" i="37"/>
  <c r="J14" i="36"/>
  <c r="J12" i="36"/>
  <c r="J11" i="36"/>
  <c r="J15" i="36"/>
  <c r="J13" i="36"/>
  <c r="J17" i="36" l="1"/>
  <c r="J19" i="36" s="1"/>
  <c r="J13" i="35"/>
  <c r="J11" i="35"/>
  <c r="J12" i="35"/>
  <c r="M12" i="23"/>
  <c r="M12" i="22"/>
  <c r="M11" i="21"/>
  <c r="J14" i="35" l="1"/>
  <c r="J16" i="35" s="1"/>
  <c r="J11" i="34"/>
  <c r="J12" i="34" s="1"/>
  <c r="J12" i="33"/>
  <c r="J11" i="33"/>
  <c r="J11" i="32"/>
  <c r="J12" i="32" s="1"/>
  <c r="J13" i="34" l="1"/>
  <c r="J15" i="34" s="1"/>
  <c r="J13" i="33"/>
  <c r="J14" i="33"/>
  <c r="J16" i="33" s="1"/>
  <c r="J15" i="32"/>
  <c r="J13" i="31"/>
  <c r="J12" i="31"/>
  <c r="J11" i="31"/>
  <c r="J14" i="31" l="1"/>
  <c r="J15" i="31" s="1"/>
  <c r="J17" i="31" s="1"/>
  <c r="G13" i="30" l="1"/>
  <c r="G12" i="30"/>
  <c r="J13" i="30"/>
  <c r="J12" i="30"/>
  <c r="J11" i="30"/>
  <c r="J15" i="30" s="1"/>
  <c r="J14" i="30"/>
  <c r="J11" i="29"/>
  <c r="J14" i="28"/>
  <c r="J12" i="28"/>
  <c r="J11" i="28"/>
  <c r="J13" i="28"/>
  <c r="J16" i="30" l="1"/>
  <c r="J18" i="30" s="1"/>
  <c r="J12" i="29"/>
  <c r="J13" i="29" s="1"/>
  <c r="J15" i="29" s="1"/>
  <c r="J15" i="28"/>
  <c r="J17" i="28"/>
  <c r="J11" i="27"/>
  <c r="J12" i="27" s="1"/>
  <c r="J13" i="25"/>
  <c r="J11" i="25"/>
  <c r="J11" i="26"/>
  <c r="J12" i="26" s="1"/>
  <c r="J12" i="25"/>
  <c r="J14" i="24"/>
  <c r="J12" i="24"/>
  <c r="J11" i="24"/>
  <c r="J13" i="24"/>
  <c r="J12" i="23"/>
  <c r="J11" i="23"/>
  <c r="J13" i="22"/>
  <c r="J11" i="22"/>
  <c r="J12" i="22"/>
  <c r="J19" i="21"/>
  <c r="J18" i="21"/>
  <c r="J13" i="27" l="1"/>
  <c r="J15" i="27" s="1"/>
  <c r="J13" i="26"/>
  <c r="J15" i="26" s="1"/>
  <c r="J14" i="25"/>
  <c r="J16" i="25" s="1"/>
  <c r="J15" i="24"/>
  <c r="J17" i="24" s="1"/>
  <c r="J13" i="23"/>
  <c r="J14" i="23"/>
  <c r="J16" i="23" s="1"/>
  <c r="J14" i="22"/>
  <c r="J16" i="22" s="1"/>
  <c r="J11" i="21"/>
  <c r="J20" i="24" l="1"/>
  <c r="J21" i="24" s="1"/>
  <c r="J19" i="23"/>
  <c r="J20" i="23" s="1"/>
  <c r="J19" i="22"/>
  <c r="J20" i="22" s="1"/>
  <c r="J12" i="21"/>
  <c r="J13" i="21" s="1"/>
  <c r="J15" i="21" l="1"/>
</calcChain>
</file>

<file path=xl/sharedStrings.xml><?xml version="1.0" encoding="utf-8"?>
<sst xmlns="http://schemas.openxmlformats.org/spreadsheetml/2006/main" count="686" uniqueCount="120">
  <si>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</si>
  <si>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</si>
  <si>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</si>
  <si>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</si>
  <si>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</si>
  <si>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</si>
  <si>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</si>
  <si>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</si>
  <si>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</si>
  <si>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</si>
  <si>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Amount</t>
  </si>
  <si>
    <t>Sr.
No.</t>
  </si>
  <si>
    <t xml:space="preserve">Advance Payment </t>
  </si>
  <si>
    <t>Balance Payment to be paid</t>
  </si>
  <si>
    <t>TDS will be deducted as per applicable rules at your end</t>
  </si>
  <si>
    <t xml:space="preserve">Approved By - </t>
  </si>
  <si>
    <t xml:space="preserve">Company Name </t>
  </si>
  <si>
    <t>Bill Date</t>
  </si>
  <si>
    <t xml:space="preserve">Total Bill Amount </t>
  </si>
  <si>
    <t xml:space="preserve"> </t>
  </si>
  <si>
    <t>Retention @ 5% to be deducted</t>
  </si>
  <si>
    <t>Rate/
Flat</t>
  </si>
  <si>
    <t>Invoice No.</t>
  </si>
  <si>
    <t>GST @ 18%</t>
  </si>
  <si>
    <t>Narayan Corporation</t>
  </si>
  <si>
    <t>Girishbhai</t>
  </si>
  <si>
    <t>RA Bill-1</t>
  </si>
  <si>
    <t>Retaining wall water proofing work</t>
  </si>
  <si>
    <t>With material water proofing work</t>
  </si>
  <si>
    <t>Crystaline Coating work</t>
  </si>
  <si>
    <t>Sq.ft.</t>
  </si>
  <si>
    <t>To, 
Tanvi Infracon - Pramukh Revanta Project</t>
  </si>
  <si>
    <t>One lakh Fifty Five Thousand One Hundred Eighty Nine Only</t>
  </si>
  <si>
    <t>RA Bill-2</t>
  </si>
  <si>
    <t>Expantion Joint belt work</t>
  </si>
  <si>
    <t>R.mt.</t>
  </si>
  <si>
    <t>Two Lakh Eighty One Thousand Nine Hundred Ninty Seven Only</t>
  </si>
  <si>
    <t>Five Lakh Sixteen Thousand Five Hundred Forty Four Only</t>
  </si>
  <si>
    <t>RA Bill-3</t>
  </si>
  <si>
    <t>RA Bill-4</t>
  </si>
  <si>
    <t>Terrace PU Coating work (D-Tower, Lift Top, Tank Top)</t>
  </si>
  <si>
    <t>OHWT Vertical Wall Crystaline Coating work</t>
  </si>
  <si>
    <t>Staircase Coating work</t>
  </si>
  <si>
    <t>R.MT.</t>
  </si>
  <si>
    <t>Three Lakh Fourty Nine Thousand One Hundred Twenty Four Only</t>
  </si>
  <si>
    <t>RA Bill-6</t>
  </si>
  <si>
    <t>Terrace Water proofing work</t>
  </si>
  <si>
    <t>PU Coating work (D- Tower Water tank)</t>
  </si>
  <si>
    <t>Crystaline Coating work (Tnak Wall)</t>
  </si>
  <si>
    <t>Three Lakh Three Thousand Five Hundred Fifty Two Only</t>
  </si>
  <si>
    <t>Flat coating work</t>
  </si>
  <si>
    <t>RA Bill-7</t>
  </si>
  <si>
    <t>Flat Internal Coating work (Flat No. 1212, 611, 811, 1112, 912, 812, 712, 612, 1012)</t>
  </si>
  <si>
    <t>Five Lakh Twenty One Thousand Two Hundred Six Only</t>
  </si>
  <si>
    <t>RA Bill-8</t>
  </si>
  <si>
    <t>D- Building BBC work (Terrace)</t>
  </si>
  <si>
    <t>One Lakh Ninty Four Thousand Three Hundred Sixty Only</t>
  </si>
  <si>
    <t>BBC Work</t>
  </si>
  <si>
    <t>RA Bill-9</t>
  </si>
  <si>
    <t>C- Building BBC work (Terrace)</t>
  </si>
  <si>
    <t>PU Coating Work</t>
  </si>
  <si>
    <t>Seven Lakh Twenty Nine Thousand Six Hundred Thirty Five Only</t>
  </si>
  <si>
    <t>RA Bill-10</t>
  </si>
  <si>
    <t>Flat Internal Coating work (Flat No. 1306, 1106, 1006, 806, 807, 706, 405, 406, 305, 306 and 1206, 906, 808, 605, 606, 506 Part area) C-Building</t>
  </si>
  <si>
    <t>This is to be debited from Dhavalbhai Contractor</t>
  </si>
  <si>
    <t>Six Lakh Ninty Seven Thousand Six Hundred Eight Only</t>
  </si>
  <si>
    <t>RA Bill-11</t>
  </si>
  <si>
    <t>China Mosaic work D-Building Terrace</t>
  </si>
  <si>
    <t>Crystaline Coating for Lift Pit D &amp; E Building</t>
  </si>
  <si>
    <t>BBC Work D &amp; E Building Lift Pit</t>
  </si>
  <si>
    <t>Staircase coating Work E- Building</t>
  </si>
  <si>
    <t>Two Lakh Fourty Five Thousand Three Hundred Fifty Five Only</t>
  </si>
  <si>
    <t>RA Bill-12</t>
  </si>
  <si>
    <t>BBC and China Mosaic Work</t>
  </si>
  <si>
    <t>China Mosaic work C- Building Terrace</t>
  </si>
  <si>
    <t>Crystaline Coating Work</t>
  </si>
  <si>
    <t>BBC work</t>
  </si>
  <si>
    <t>One Lakh Seventy Eight Thousand Nine Hundred Fourty Six Only</t>
  </si>
  <si>
    <t>Ramesh M. Chotaliya</t>
  </si>
  <si>
    <t>Terrace Cleaning work</t>
  </si>
  <si>
    <t>Cleaning and removing Debris, Loose Concrete, Make surface cleaning of Terrace A &amp; B Building</t>
  </si>
  <si>
    <t>Lumsum</t>
  </si>
  <si>
    <t>Thirty Five Thousand Only</t>
  </si>
  <si>
    <t>Debit from Dhavalbhai</t>
  </si>
  <si>
    <t>RA Bill-13</t>
  </si>
  <si>
    <t>A- Building terrace, Water Tank, Duct top PU Coating work</t>
  </si>
  <si>
    <t>Crystaline Coating Work Water Tank Pardi work</t>
  </si>
  <si>
    <t>Six Lakh Twenty Two Thousand Six Hundred Thirty Nine Only</t>
  </si>
  <si>
    <t>RA Bill-14</t>
  </si>
  <si>
    <t>PU Coating and Crystaline Coating work</t>
  </si>
  <si>
    <t>Coating for Flats</t>
  </si>
  <si>
    <t>B- Building Flat Internal Coating work (Flat No. 1303, 1304, 1204, 1203, 1104, 1103, 1004, 1003, 904, 804, 803 (M1,CB,M2), 704, 703)</t>
  </si>
  <si>
    <t>Five Lakh Fourty Nine Thousand Nine Hundred Fifty One Only</t>
  </si>
  <si>
    <t>RA Bill-15</t>
  </si>
  <si>
    <t>A &amp; B- Building Flat Internal Coating work (Flat No. 603, 604, 303, 304, 1301, 1302, 1201, 1202, 1101, 1102, 701, 702, 501)</t>
  </si>
  <si>
    <t>B 1303 Slab Crack Filling</t>
  </si>
  <si>
    <t>Six Lakh Thirteen Thousand Two Hundred Seventy only</t>
  </si>
  <si>
    <t>RA Bill-16</t>
  </si>
  <si>
    <t>Waterproofing, China mosaic, PU Coating work</t>
  </si>
  <si>
    <t>China Mosaic Work</t>
  </si>
  <si>
    <t>PU Coating work</t>
  </si>
  <si>
    <t>R.ft.</t>
  </si>
  <si>
    <t>Staircase coating Work A &amp; B- Building</t>
  </si>
  <si>
    <t>Six Lakh Fifty Eight Thousand Six Hundred Fifty Nine Only</t>
  </si>
  <si>
    <t>RA Bill-17</t>
  </si>
  <si>
    <t>Flat Coating work</t>
  </si>
  <si>
    <t>A- Building Flat Internal Coating work (Flat No. 201, 202, 401, 402, 502 (L+K+S+C.Bed), 601, 602, 801, 802, 901, 902, 1001 (Bed 1 &amp; 2), 1002 (Bed 1 &amp; 2 + Kitchen)</t>
  </si>
  <si>
    <t>Five Lakh Fifteen Thousand Eight Hundred Fifty Only</t>
  </si>
  <si>
    <t>RA Bill-18</t>
  </si>
  <si>
    <t>COP Area</t>
  </si>
  <si>
    <t>Core Cutting Gabda Filling work</t>
  </si>
  <si>
    <t>Nos.</t>
  </si>
  <si>
    <t>Crystaline Coating Work Garden Flower bed</t>
  </si>
  <si>
    <t>Eleven Lakh Fourty Five Thousand Seven Hundred Seventy Seven Only</t>
  </si>
  <si>
    <t>RA Bill-19</t>
  </si>
  <si>
    <t>PU coating work</t>
  </si>
  <si>
    <t>Expansion Joint work with belt</t>
  </si>
  <si>
    <t>Geotextile Work</t>
  </si>
  <si>
    <t>Drain Board Work</t>
  </si>
  <si>
    <t>Eleven Lakh Ninty Four Thousand Four Hundred Fifty Nine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</si>
</sst>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164" fontId="5" fillId="0" borderId="0" xfId="1" applyFont="1"/>
    <xf numFmtId="0" fontId="5" fillId="0" borderId="0" xfId="0" applyFont="1" applyAlignment="1">
      <alignment vertical="center"/>
    </xf>
    <xf numFmtId="164" fontId="2" fillId="0" borderId="0" xfId="0" applyNumberFormat="1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165" fontId="5" fillId="0" borderId="0" xfId="0" applyNumberFormat="1" applyFont="1"/>
    <xf numFmtId="165" fontId="2" fillId="0" borderId="0" xfId="0" applyNumberFormat="1" applyFont="1"/>
    <xf numFmtId="43" fontId="2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31"/>
  <sheetViews>
    <sheetView topLeftCell="A4" zoomScale="85" zoomScaleNormal="85" workbookViewId="0">
      <selection activeCell="G11" sqref="G11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3" width="9.08984375" style="1" bestFit="1" customWidth="1"/>
    <col min="14" max="16384" width="8.6328125" style="1"/>
  </cols>
  <sheetData>
    <row r="2" spans="2:13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3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3" ht="15.65" customHeight="1" x14ac:dyDescent="0.35">
      <c r="B4" s="22" t="s">
        <v>16</v>
      </c>
      <c r="C4" s="22"/>
      <c r="D4" s="26" t="s">
        <v>24</v>
      </c>
      <c r="E4" s="26"/>
      <c r="F4" s="26"/>
      <c r="G4" s="26"/>
      <c r="H4" s="36" t="s">
        <v>22</v>
      </c>
      <c r="I4" s="36"/>
      <c r="J4" s="8" t="s">
        <v>26</v>
      </c>
    </row>
    <row r="5" spans="2:13" ht="18.899999999999999" customHeight="1" x14ac:dyDescent="0.3">
      <c r="B5" s="28" t="s">
        <v>1</v>
      </c>
      <c r="C5" s="28"/>
      <c r="D5" s="27" t="s">
        <v>25</v>
      </c>
      <c r="E5" s="27"/>
      <c r="F5" s="27"/>
      <c r="G5" s="27"/>
      <c r="H5" s="27"/>
      <c r="I5" s="27"/>
      <c r="J5" s="27"/>
    </row>
    <row r="6" spans="2:13" ht="30.9" customHeight="1" x14ac:dyDescent="0.35">
      <c r="B6" s="31" t="s">
        <v>31</v>
      </c>
      <c r="C6" s="31"/>
      <c r="D6" s="31"/>
      <c r="E6" s="31"/>
      <c r="F6" s="31"/>
      <c r="G6" s="31"/>
      <c r="H6" s="10" t="s">
        <v>2</v>
      </c>
      <c r="I6" s="32">
        <v>44839</v>
      </c>
      <c r="J6" s="33"/>
    </row>
    <row r="7" spans="2:13" ht="20.149999999999999" customHeight="1" x14ac:dyDescent="0.3">
      <c r="B7" s="34" t="s">
        <v>3</v>
      </c>
      <c r="C7" s="34"/>
      <c r="D7" s="30" t="s">
        <v>27</v>
      </c>
      <c r="E7" s="30"/>
      <c r="F7" s="30"/>
      <c r="G7" s="30"/>
      <c r="H7" s="3" t="s">
        <v>17</v>
      </c>
      <c r="I7" s="32">
        <v>44782</v>
      </c>
      <c r="J7" s="33"/>
    </row>
    <row r="8" spans="2:13" ht="18.899999999999999" customHeight="1" x14ac:dyDescent="0.3">
      <c r="B8" s="28" t="s">
        <v>5</v>
      </c>
      <c r="C8" s="28"/>
      <c r="D8" s="27" t="s">
        <v>28</v>
      </c>
      <c r="E8" s="27"/>
      <c r="F8" s="27"/>
      <c r="G8" s="27"/>
      <c r="H8" s="27"/>
      <c r="I8" s="27"/>
      <c r="J8" s="27"/>
    </row>
    <row r="9" spans="2:13" ht="20.399999999999999" customHeight="1" x14ac:dyDescent="0.3">
      <c r="B9" s="28" t="s">
        <v>4</v>
      </c>
      <c r="C9" s="28"/>
      <c r="D9" s="28"/>
      <c r="E9" s="28"/>
      <c r="F9" s="28"/>
      <c r="G9" s="28"/>
      <c r="H9" s="28"/>
      <c r="I9" s="28"/>
      <c r="J9" s="28"/>
    </row>
    <row r="10" spans="2:13" ht="30" x14ac:dyDescent="0.3">
      <c r="B10" s="2" t="s">
        <v>11</v>
      </c>
      <c r="C10" s="29" t="s">
        <v>6</v>
      </c>
      <c r="D10" s="29"/>
      <c r="E10" s="29"/>
      <c r="F10" s="3" t="s">
        <v>7</v>
      </c>
      <c r="G10" s="15" t="s">
        <v>8</v>
      </c>
      <c r="H10" s="15" t="s">
        <v>9</v>
      </c>
      <c r="I10" s="2" t="s">
        <v>21</v>
      </c>
      <c r="J10" s="13" t="s">
        <v>10</v>
      </c>
    </row>
    <row r="11" spans="2:13" ht="33.9" customHeight="1" x14ac:dyDescent="0.3">
      <c r="B11" s="4">
        <v>1</v>
      </c>
      <c r="C11" s="30" t="s">
        <v>29</v>
      </c>
      <c r="D11" s="30"/>
      <c r="E11" s="30"/>
      <c r="F11" s="5">
        <v>1</v>
      </c>
      <c r="G11" s="16">
        <v>3287.9</v>
      </c>
      <c r="H11" s="4" t="s">
        <v>30</v>
      </c>
      <c r="I11" s="17">
        <v>40</v>
      </c>
      <c r="J11" s="6">
        <f>G11*I11</f>
        <v>131516</v>
      </c>
      <c r="M11" s="20">
        <f>J15+'2'!J16+'3'!J16</f>
        <v>953729.80799999996</v>
      </c>
    </row>
    <row r="12" spans="2:13" ht="17.399999999999999" customHeight="1" x14ac:dyDescent="0.35">
      <c r="B12" s="14"/>
      <c r="C12" s="23" t="s">
        <v>18</v>
      </c>
      <c r="D12" s="23"/>
      <c r="E12" s="23"/>
      <c r="F12" s="23"/>
      <c r="G12" s="23"/>
      <c r="H12" s="23"/>
      <c r="I12" s="23"/>
      <c r="J12" s="7">
        <f>SUM(J11:J11)</f>
        <v>131516</v>
      </c>
    </row>
    <row r="13" spans="2:13" ht="17.399999999999999" customHeight="1" x14ac:dyDescent="0.35">
      <c r="B13" s="14"/>
      <c r="C13" s="24" t="s">
        <v>23</v>
      </c>
      <c r="D13" s="24"/>
      <c r="E13" s="24"/>
      <c r="F13" s="24"/>
      <c r="G13" s="24"/>
      <c r="H13" s="24"/>
      <c r="I13" s="24"/>
      <c r="J13" s="7">
        <f>J12*18%</f>
        <v>23672.879999999997</v>
      </c>
    </row>
    <row r="14" spans="2:13" ht="17.399999999999999" customHeight="1" x14ac:dyDescent="0.35">
      <c r="B14" s="14"/>
      <c r="C14" s="24"/>
      <c r="D14" s="24"/>
      <c r="E14" s="24"/>
      <c r="F14" s="24"/>
      <c r="G14" s="24"/>
      <c r="H14" s="24"/>
      <c r="I14" s="24"/>
      <c r="J14" s="7"/>
    </row>
    <row r="15" spans="2:13" ht="17.399999999999999" customHeight="1" x14ac:dyDescent="0.35">
      <c r="B15" s="14"/>
      <c r="C15" s="13"/>
      <c r="D15" s="13"/>
      <c r="E15" s="13"/>
      <c r="F15" s="13"/>
      <c r="G15" s="13"/>
      <c r="H15" s="13"/>
      <c r="I15" s="13"/>
      <c r="J15" s="18">
        <f>J12+J13+J14</f>
        <v>155188.88</v>
      </c>
    </row>
    <row r="16" spans="2:13" ht="15.5" x14ac:dyDescent="0.35">
      <c r="B16" s="8"/>
      <c r="C16" s="25" t="s">
        <v>32</v>
      </c>
      <c r="D16" s="25"/>
      <c r="E16" s="25"/>
      <c r="F16" s="25"/>
      <c r="G16" s="25"/>
      <c r="H16" s="25"/>
      <c r="I16" s="25"/>
      <c r="J16" s="25"/>
    </row>
    <row r="17" spans="2:12" ht="15.5" x14ac:dyDescent="0.35">
      <c r="B17" s="14"/>
      <c r="C17" s="26" t="s">
        <v>12</v>
      </c>
      <c r="D17" s="26"/>
      <c r="E17" s="26"/>
      <c r="F17" s="8"/>
      <c r="G17" s="8"/>
      <c r="H17" s="8"/>
      <c r="I17" s="8"/>
      <c r="J17" s="9">
        <v>0</v>
      </c>
    </row>
    <row r="18" spans="2:12" ht="15.5" x14ac:dyDescent="0.35">
      <c r="B18" s="14"/>
      <c r="C18" s="26" t="s">
        <v>20</v>
      </c>
      <c r="D18" s="26"/>
      <c r="E18" s="26"/>
      <c r="F18" s="8"/>
      <c r="G18" s="8"/>
      <c r="H18" s="8"/>
      <c r="I18" s="8"/>
      <c r="J18" s="9">
        <f>J15*5%</f>
        <v>7759.4440000000004</v>
      </c>
    </row>
    <row r="19" spans="2:12" ht="15.5" x14ac:dyDescent="0.35">
      <c r="B19" s="14"/>
      <c r="C19" s="26" t="s">
        <v>13</v>
      </c>
      <c r="D19" s="26"/>
      <c r="E19" s="26"/>
      <c r="F19" s="8"/>
      <c r="G19" s="8" t="s">
        <v>19</v>
      </c>
      <c r="H19" s="8"/>
      <c r="I19" s="8"/>
      <c r="J19" s="19">
        <f>J15-J18</f>
        <v>147429.43600000002</v>
      </c>
    </row>
    <row r="20" spans="2:12" ht="15.5" x14ac:dyDescent="0.35">
      <c r="B20" s="8"/>
      <c r="C20" s="26"/>
      <c r="D20" s="26"/>
      <c r="E20" s="26"/>
      <c r="F20" s="8"/>
      <c r="G20" s="8"/>
      <c r="H20" s="8"/>
      <c r="I20" s="8"/>
      <c r="J20" s="8"/>
      <c r="L20" s="11"/>
    </row>
    <row r="21" spans="2:12" x14ac:dyDescent="0.3">
      <c r="B21" s="27" t="s">
        <v>14</v>
      </c>
      <c r="C21" s="27"/>
      <c r="D21" s="27"/>
      <c r="E21" s="27"/>
      <c r="F21" s="27"/>
      <c r="G21" s="27"/>
      <c r="H21" s="27"/>
      <c r="I21" s="27"/>
      <c r="J21" s="27"/>
    </row>
    <row r="22" spans="2:12" x14ac:dyDescent="0.3">
      <c r="B22" s="27"/>
      <c r="C22" s="27"/>
      <c r="D22" s="27"/>
      <c r="E22" s="27"/>
      <c r="F22" s="27"/>
      <c r="G22" s="27"/>
      <c r="H22" s="27"/>
      <c r="I22" s="27"/>
      <c r="J22" s="27"/>
    </row>
    <row r="23" spans="2:12" x14ac:dyDescent="0.3">
      <c r="B23" s="27"/>
      <c r="C23" s="27"/>
      <c r="D23" s="27"/>
      <c r="E23" s="27"/>
      <c r="F23" s="27"/>
      <c r="G23" s="27"/>
      <c r="H23" s="27"/>
      <c r="I23" s="27"/>
      <c r="J23" s="27"/>
    </row>
    <row r="26" spans="2:12" ht="14.15" customHeight="1" x14ac:dyDescent="0.3">
      <c r="B26" s="28" t="s">
        <v>15</v>
      </c>
      <c r="C26" s="28"/>
      <c r="D26" s="28"/>
      <c r="E26" s="28"/>
      <c r="F26" s="28"/>
      <c r="G26" s="28"/>
      <c r="H26" s="28"/>
      <c r="I26" s="28"/>
      <c r="J26" s="28"/>
    </row>
    <row r="27" spans="2:12" ht="14.15" customHeight="1" x14ac:dyDescent="0.3">
      <c r="B27" s="28"/>
      <c r="C27" s="28"/>
      <c r="D27" s="28"/>
      <c r="E27" s="28"/>
      <c r="F27" s="28"/>
      <c r="G27" s="28"/>
      <c r="H27" s="28"/>
      <c r="I27" s="28"/>
      <c r="J27" s="28"/>
    </row>
    <row r="28" spans="2:12" x14ac:dyDescent="0.3">
      <c r="B28" s="28"/>
      <c r="C28" s="28"/>
      <c r="D28" s="28"/>
      <c r="E28" s="28"/>
      <c r="F28" s="28"/>
      <c r="G28" s="28"/>
      <c r="H28" s="28"/>
      <c r="I28" s="28"/>
      <c r="J28" s="28"/>
    </row>
    <row r="29" spans="2:12" x14ac:dyDescent="0.3">
      <c r="B29" s="28"/>
      <c r="C29" s="28"/>
      <c r="D29" s="28"/>
      <c r="E29" s="28"/>
      <c r="F29" s="28"/>
      <c r="G29" s="28"/>
      <c r="H29" s="28"/>
      <c r="I29" s="28"/>
      <c r="J29" s="28"/>
    </row>
    <row r="30" spans="2:12" ht="15.5" x14ac:dyDescent="0.35">
      <c r="B30" s="8"/>
      <c r="C30" s="8"/>
      <c r="D30" s="8"/>
      <c r="E30" s="8"/>
      <c r="F30" s="8"/>
      <c r="G30" s="8"/>
      <c r="H30" s="8"/>
      <c r="I30" s="8"/>
      <c r="J30" s="8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</sheetData>
  <mergeCells count="27">
    <mergeCell ref="B6:G6"/>
    <mergeCell ref="I6:J6"/>
    <mergeCell ref="B7:C7"/>
    <mergeCell ref="D7:G7"/>
    <mergeCell ref="I7:J7"/>
    <mergeCell ref="B2:J2"/>
    <mergeCell ref="B4:C4"/>
    <mergeCell ref="D4:G4"/>
    <mergeCell ref="H4:I4"/>
    <mergeCell ref="B5:C5"/>
    <mergeCell ref="D5:J5"/>
    <mergeCell ref="B8:C8"/>
    <mergeCell ref="D8:J8"/>
    <mergeCell ref="B9:J9"/>
    <mergeCell ref="C10:E10"/>
    <mergeCell ref="C11:E11"/>
    <mergeCell ref="C12:I12"/>
    <mergeCell ref="B28:J29"/>
    <mergeCell ref="C17:E17"/>
    <mergeCell ref="C18:E18"/>
    <mergeCell ref="C19:E19"/>
    <mergeCell ref="C13:I13"/>
    <mergeCell ref="C14:I14"/>
    <mergeCell ref="C16:J16"/>
    <mergeCell ref="C20:E20"/>
    <mergeCell ref="B21:J23"/>
    <mergeCell ref="B26:J27"/>
  </mergeCells>
  <pageMargins left="0.7" right="0.7" top="0.75" bottom="0.75" header="0.3" footer="0.3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BCF8-9426-48D9-B3BF-47449BEA17AE}">
  <sheetPr>
    <pageSetUpPr fitToPage="1"/>
  </sheetPr>
  <dimension ref="B2:M32"/>
  <sheetViews>
    <sheetView topLeftCell="A4" zoomScale="85" zoomScaleNormal="85" workbookViewId="0">
      <selection activeCell="M13" sqref="M13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3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3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3" ht="15.65" customHeight="1" x14ac:dyDescent="0.35">
      <c r="B4" s="22" t="s">
        <v>16</v>
      </c>
      <c r="C4" s="22"/>
      <c r="D4" s="26" t="s">
        <v>24</v>
      </c>
      <c r="E4" s="26"/>
      <c r="F4" s="26"/>
      <c r="G4" s="26"/>
      <c r="H4" s="36" t="s">
        <v>22</v>
      </c>
      <c r="I4" s="36"/>
      <c r="J4" s="8" t="s">
        <v>33</v>
      </c>
    </row>
    <row r="5" spans="2:13" ht="18.899999999999999" customHeight="1" x14ac:dyDescent="0.3">
      <c r="B5" s="28" t="s">
        <v>1</v>
      </c>
      <c r="C5" s="28"/>
      <c r="D5" s="27" t="s">
        <v>25</v>
      </c>
      <c r="E5" s="27"/>
      <c r="F5" s="27"/>
      <c r="G5" s="27"/>
      <c r="H5" s="27"/>
      <c r="I5" s="27"/>
      <c r="J5" s="27"/>
    </row>
    <row r="6" spans="2:13" ht="30.9" customHeight="1" x14ac:dyDescent="0.35">
      <c r="B6" s="31" t="s">
        <v>31</v>
      </c>
      <c r="C6" s="31"/>
      <c r="D6" s="31"/>
      <c r="E6" s="31"/>
      <c r="F6" s="31"/>
      <c r="G6" s="31"/>
      <c r="H6" s="10" t="s">
        <v>2</v>
      </c>
      <c r="I6" s="32">
        <v>44938</v>
      </c>
      <c r="J6" s="33"/>
    </row>
    <row r="7" spans="2:13" ht="20.149999999999999" customHeight="1" x14ac:dyDescent="0.3">
      <c r="B7" s="34" t="s">
        <v>3</v>
      </c>
      <c r="C7" s="34"/>
      <c r="D7" s="30" t="s">
        <v>27</v>
      </c>
      <c r="E7" s="30"/>
      <c r="F7" s="30"/>
      <c r="G7" s="30"/>
      <c r="H7" s="3" t="s">
        <v>17</v>
      </c>
      <c r="I7" s="32">
        <v>44927</v>
      </c>
      <c r="J7" s="33"/>
    </row>
    <row r="8" spans="2:13" ht="18.899999999999999" customHeight="1" x14ac:dyDescent="0.3">
      <c r="B8" s="28" t="s">
        <v>5</v>
      </c>
      <c r="C8" s="28"/>
      <c r="D8" s="27" t="s">
        <v>28</v>
      </c>
      <c r="E8" s="27"/>
      <c r="F8" s="27"/>
      <c r="G8" s="27"/>
      <c r="H8" s="27"/>
      <c r="I8" s="27"/>
      <c r="J8" s="27"/>
    </row>
    <row r="9" spans="2:13" ht="20.399999999999999" customHeight="1" x14ac:dyDescent="0.3">
      <c r="B9" s="28" t="s">
        <v>4</v>
      </c>
      <c r="C9" s="28"/>
      <c r="D9" s="28"/>
      <c r="E9" s="28"/>
      <c r="F9" s="28"/>
      <c r="G9" s="28"/>
      <c r="H9" s="28"/>
      <c r="I9" s="28"/>
      <c r="J9" s="28"/>
    </row>
    <row r="10" spans="2:13" ht="30" x14ac:dyDescent="0.3">
      <c r="B10" s="2" t="s">
        <v>11</v>
      </c>
      <c r="C10" s="29" t="s">
        <v>6</v>
      </c>
      <c r="D10" s="29"/>
      <c r="E10" s="29"/>
      <c r="F10" s="3" t="s">
        <v>7</v>
      </c>
      <c r="G10" s="15" t="s">
        <v>8</v>
      </c>
      <c r="H10" s="15" t="s">
        <v>9</v>
      </c>
      <c r="I10" s="2" t="s">
        <v>21</v>
      </c>
      <c r="J10" s="13" t="s">
        <v>10</v>
      </c>
    </row>
    <row r="11" spans="2:13" ht="33.9" customHeight="1" x14ac:dyDescent="0.3">
      <c r="B11" s="4">
        <v>1</v>
      </c>
      <c r="C11" s="30" t="s">
        <v>29</v>
      </c>
      <c r="D11" s="30"/>
      <c r="E11" s="30"/>
      <c r="F11" s="5">
        <v>1</v>
      </c>
      <c r="G11" s="16">
        <v>5199.0200000000004</v>
      </c>
      <c r="H11" s="4" t="s">
        <v>30</v>
      </c>
      <c r="I11" s="17">
        <v>40</v>
      </c>
      <c r="J11" s="6">
        <f>G11*I11</f>
        <v>207960.80000000002</v>
      </c>
    </row>
    <row r="12" spans="2:13" ht="33.9" customHeight="1" x14ac:dyDescent="0.3">
      <c r="B12" s="4">
        <v>2</v>
      </c>
      <c r="C12" s="30" t="s">
        <v>34</v>
      </c>
      <c r="D12" s="30"/>
      <c r="E12" s="30"/>
      <c r="F12" s="5">
        <v>1</v>
      </c>
      <c r="G12" s="16">
        <v>14.1</v>
      </c>
      <c r="H12" s="4" t="s">
        <v>35</v>
      </c>
      <c r="I12" s="17">
        <v>2200</v>
      </c>
      <c r="J12" s="6">
        <f>G12*I12</f>
        <v>31020</v>
      </c>
      <c r="M12" s="1">
        <f>G11+'3'!G11+'1'!G11</f>
        <v>18629.84</v>
      </c>
    </row>
    <row r="13" spans="2:13" ht="17.399999999999999" customHeight="1" x14ac:dyDescent="0.35">
      <c r="B13" s="14"/>
      <c r="C13" s="23" t="s">
        <v>18</v>
      </c>
      <c r="D13" s="23"/>
      <c r="E13" s="23"/>
      <c r="F13" s="23"/>
      <c r="G13" s="23"/>
      <c r="H13" s="23"/>
      <c r="I13" s="23"/>
      <c r="J13" s="7">
        <f>SUM(J11:J12)</f>
        <v>238980.80000000002</v>
      </c>
    </row>
    <row r="14" spans="2:13" ht="17.399999999999999" customHeight="1" x14ac:dyDescent="0.35">
      <c r="B14" s="14"/>
      <c r="C14" s="24" t="s">
        <v>23</v>
      </c>
      <c r="D14" s="24"/>
      <c r="E14" s="24"/>
      <c r="F14" s="24"/>
      <c r="G14" s="24"/>
      <c r="H14" s="24"/>
      <c r="I14" s="24"/>
      <c r="J14" s="7">
        <f>J13*18%</f>
        <v>43016.544000000002</v>
      </c>
    </row>
    <row r="15" spans="2:13" ht="17.399999999999999" customHeight="1" x14ac:dyDescent="0.35">
      <c r="B15" s="14"/>
      <c r="C15" s="24"/>
      <c r="D15" s="24"/>
      <c r="E15" s="24"/>
      <c r="F15" s="24"/>
      <c r="G15" s="24"/>
      <c r="H15" s="24"/>
      <c r="I15" s="24"/>
      <c r="J15" s="7"/>
    </row>
    <row r="16" spans="2:13" ht="17.399999999999999" customHeight="1" x14ac:dyDescent="0.35">
      <c r="B16" s="14"/>
      <c r="C16" s="13"/>
      <c r="D16" s="13"/>
      <c r="E16" s="13"/>
      <c r="F16" s="13"/>
      <c r="G16" s="13"/>
      <c r="H16" s="13"/>
      <c r="I16" s="13"/>
      <c r="J16" s="18">
        <f>J13+J14+J15</f>
        <v>281997.34400000004</v>
      </c>
    </row>
    <row r="17" spans="2:12" ht="15.5" x14ac:dyDescent="0.35">
      <c r="B17" s="8"/>
      <c r="C17" s="25" t="s">
        <v>36</v>
      </c>
      <c r="D17" s="25"/>
      <c r="E17" s="25"/>
      <c r="F17" s="25"/>
      <c r="G17" s="25"/>
      <c r="H17" s="25"/>
      <c r="I17" s="25"/>
      <c r="J17" s="25"/>
    </row>
    <row r="18" spans="2:12" ht="15.5" x14ac:dyDescent="0.35">
      <c r="B18" s="14"/>
      <c r="C18" s="26" t="s">
        <v>12</v>
      </c>
      <c r="D18" s="26"/>
      <c r="E18" s="26"/>
      <c r="F18" s="8"/>
      <c r="G18" s="8"/>
      <c r="H18" s="8"/>
      <c r="I18" s="8"/>
      <c r="J18" s="9">
        <v>0</v>
      </c>
    </row>
    <row r="19" spans="2:12" ht="15.5" x14ac:dyDescent="0.35">
      <c r="B19" s="14"/>
      <c r="C19" s="26" t="s">
        <v>20</v>
      </c>
      <c r="D19" s="26"/>
      <c r="E19" s="26"/>
      <c r="F19" s="8"/>
      <c r="G19" s="8"/>
      <c r="H19" s="8"/>
      <c r="I19" s="8"/>
      <c r="J19" s="9">
        <f>J16*5%</f>
        <v>14099.867200000002</v>
      </c>
    </row>
    <row r="20" spans="2:12" ht="15.5" x14ac:dyDescent="0.35">
      <c r="B20" s="14"/>
      <c r="C20" s="26" t="s">
        <v>13</v>
      </c>
      <c r="D20" s="26"/>
      <c r="E20" s="26"/>
      <c r="F20" s="8"/>
      <c r="G20" s="8" t="s">
        <v>19</v>
      </c>
      <c r="H20" s="8"/>
      <c r="I20" s="8"/>
      <c r="J20" s="19">
        <f>J16-J19</f>
        <v>267897.47680000006</v>
      </c>
    </row>
    <row r="21" spans="2:12" ht="15.5" x14ac:dyDescent="0.35">
      <c r="B21" s="8"/>
      <c r="C21" s="26"/>
      <c r="D21" s="26"/>
      <c r="E21" s="26"/>
      <c r="F21" s="8"/>
      <c r="G21" s="8"/>
      <c r="H21" s="8"/>
      <c r="I21" s="8"/>
      <c r="J21" s="8"/>
      <c r="L21" s="11"/>
    </row>
    <row r="22" spans="2:12" x14ac:dyDescent="0.3">
      <c r="B22" s="27" t="s">
        <v>14</v>
      </c>
      <c r="C22" s="27"/>
      <c r="D22" s="27"/>
      <c r="E22" s="27"/>
      <c r="F22" s="27"/>
      <c r="G22" s="27"/>
      <c r="H22" s="27"/>
      <c r="I22" s="27"/>
      <c r="J22" s="27"/>
    </row>
    <row r="23" spans="2:12" x14ac:dyDescent="0.3">
      <c r="B23" s="27"/>
      <c r="C23" s="27"/>
      <c r="D23" s="27"/>
      <c r="E23" s="27"/>
      <c r="F23" s="27"/>
      <c r="G23" s="27"/>
      <c r="H23" s="27"/>
      <c r="I23" s="27"/>
      <c r="J23" s="27"/>
    </row>
    <row r="24" spans="2:12" x14ac:dyDescent="0.3">
      <c r="B24" s="27"/>
      <c r="C24" s="27"/>
      <c r="D24" s="27"/>
      <c r="E24" s="27"/>
      <c r="F24" s="27"/>
      <c r="G24" s="27"/>
      <c r="H24" s="27"/>
      <c r="I24" s="27"/>
      <c r="J24" s="27"/>
    </row>
    <row r="27" spans="2:12" ht="14.15" customHeight="1" x14ac:dyDescent="0.3">
      <c r="B27" s="28" t="s">
        <v>15</v>
      </c>
      <c r="C27" s="28"/>
      <c r="D27" s="28"/>
      <c r="E27" s="28"/>
      <c r="F27" s="28"/>
      <c r="G27" s="28"/>
      <c r="H27" s="28"/>
      <c r="I27" s="28"/>
      <c r="J27" s="28"/>
    </row>
    <row r="28" spans="2:12" ht="14.15" customHeight="1" x14ac:dyDescent="0.3">
      <c r="B28" s="28"/>
      <c r="C28" s="28"/>
      <c r="D28" s="28"/>
      <c r="E28" s="28"/>
      <c r="F28" s="28"/>
      <c r="G28" s="28"/>
      <c r="H28" s="28"/>
      <c r="I28" s="28"/>
      <c r="J28" s="28"/>
    </row>
    <row r="29" spans="2:12" x14ac:dyDescent="0.3">
      <c r="B29" s="28"/>
      <c r="C29" s="28"/>
      <c r="D29" s="28"/>
      <c r="E29" s="28"/>
      <c r="F29" s="28"/>
      <c r="G29" s="28"/>
      <c r="H29" s="28"/>
      <c r="I29" s="28"/>
      <c r="J29" s="28"/>
    </row>
    <row r="30" spans="2:12" x14ac:dyDescent="0.3">
      <c r="B30" s="28"/>
      <c r="C30" s="28"/>
      <c r="D30" s="28"/>
      <c r="E30" s="28"/>
      <c r="F30" s="28"/>
      <c r="G30" s="28"/>
      <c r="H30" s="28"/>
      <c r="I30" s="28"/>
      <c r="J30" s="28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</sheetData>
  <mergeCells count="28">
    <mergeCell ref="B27:J28"/>
    <mergeCell ref="B29:J30"/>
    <mergeCell ref="C11:E11"/>
    <mergeCell ref="C17:J17"/>
    <mergeCell ref="C18:E18"/>
    <mergeCell ref="C19:E19"/>
    <mergeCell ref="C20:E20"/>
    <mergeCell ref="C21:E21"/>
    <mergeCell ref="B22:J24"/>
    <mergeCell ref="C15:I15"/>
    <mergeCell ref="B9:J9"/>
    <mergeCell ref="C10:E10"/>
    <mergeCell ref="C12:E12"/>
    <mergeCell ref="C13:I13"/>
    <mergeCell ref="C14:I14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C0C8-8183-41A7-979C-940ABE7F8AE8}">
  <sheetPr>
    <pageSetUpPr fitToPage="1"/>
  </sheetPr>
  <dimension ref="B2:M32"/>
  <sheetViews>
    <sheetView zoomScale="85" zoomScaleNormal="85" workbookViewId="0">
      <selection activeCell="M13" sqref="M13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3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3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3" ht="15.65" customHeight="1" x14ac:dyDescent="0.35">
      <c r="B4" s="22" t="s">
        <v>16</v>
      </c>
      <c r="C4" s="22"/>
      <c r="D4" s="26" t="s">
        <v>24</v>
      </c>
      <c r="E4" s="26"/>
      <c r="F4" s="26"/>
      <c r="G4" s="26"/>
      <c r="H4" s="36" t="s">
        <v>22</v>
      </c>
      <c r="I4" s="36"/>
      <c r="J4" s="8" t="s">
        <v>38</v>
      </c>
    </row>
    <row r="5" spans="2:13" ht="18.899999999999999" customHeight="1" x14ac:dyDescent="0.3">
      <c r="B5" s="28" t="s">
        <v>1</v>
      </c>
      <c r="C5" s="28"/>
      <c r="D5" s="27" t="s">
        <v>25</v>
      </c>
      <c r="E5" s="27"/>
      <c r="F5" s="27"/>
      <c r="G5" s="27"/>
      <c r="H5" s="27"/>
      <c r="I5" s="27"/>
      <c r="J5" s="27"/>
    </row>
    <row r="6" spans="2:13" ht="30.9" customHeight="1" x14ac:dyDescent="0.35">
      <c r="B6" s="31" t="s">
        <v>31</v>
      </c>
      <c r="C6" s="31"/>
      <c r="D6" s="31"/>
      <c r="E6" s="31"/>
      <c r="F6" s="31"/>
      <c r="G6" s="31"/>
      <c r="H6" s="10" t="s">
        <v>2</v>
      </c>
      <c r="I6" s="32">
        <v>45099</v>
      </c>
      <c r="J6" s="33"/>
    </row>
    <row r="7" spans="2:13" ht="20.149999999999999" customHeight="1" x14ac:dyDescent="0.3">
      <c r="B7" s="34" t="s">
        <v>3</v>
      </c>
      <c r="C7" s="34"/>
      <c r="D7" s="30" t="s">
        <v>27</v>
      </c>
      <c r="E7" s="30"/>
      <c r="F7" s="30"/>
      <c r="G7" s="30"/>
      <c r="H7" s="3" t="s">
        <v>17</v>
      </c>
      <c r="I7" s="32">
        <v>45169</v>
      </c>
      <c r="J7" s="33"/>
    </row>
    <row r="8" spans="2:13" ht="18.899999999999999" customHeight="1" x14ac:dyDescent="0.3">
      <c r="B8" s="28" t="s">
        <v>5</v>
      </c>
      <c r="C8" s="28"/>
      <c r="D8" s="27" t="s">
        <v>28</v>
      </c>
      <c r="E8" s="27"/>
      <c r="F8" s="27"/>
      <c r="G8" s="27"/>
      <c r="H8" s="27"/>
      <c r="I8" s="27"/>
      <c r="J8" s="27"/>
    </row>
    <row r="9" spans="2:13" ht="20.399999999999999" customHeight="1" x14ac:dyDescent="0.3">
      <c r="B9" s="28" t="s">
        <v>4</v>
      </c>
      <c r="C9" s="28"/>
      <c r="D9" s="28"/>
      <c r="E9" s="28"/>
      <c r="F9" s="28"/>
      <c r="G9" s="28"/>
      <c r="H9" s="28"/>
      <c r="I9" s="28"/>
      <c r="J9" s="28"/>
    </row>
    <row r="10" spans="2:13" ht="30" x14ac:dyDescent="0.3">
      <c r="B10" s="2" t="s">
        <v>11</v>
      </c>
      <c r="C10" s="29" t="s">
        <v>6</v>
      </c>
      <c r="D10" s="29"/>
      <c r="E10" s="29"/>
      <c r="F10" s="3" t="s">
        <v>7</v>
      </c>
      <c r="G10" s="15" t="s">
        <v>8</v>
      </c>
      <c r="H10" s="15" t="s">
        <v>9</v>
      </c>
      <c r="I10" s="2" t="s">
        <v>21</v>
      </c>
      <c r="J10" s="13" t="s">
        <v>10</v>
      </c>
    </row>
    <row r="11" spans="2:13" ht="33.9" customHeight="1" x14ac:dyDescent="0.3">
      <c r="B11" s="4">
        <v>1</v>
      </c>
      <c r="C11" s="30" t="s">
        <v>29</v>
      </c>
      <c r="D11" s="30"/>
      <c r="E11" s="30"/>
      <c r="F11" s="5">
        <v>1</v>
      </c>
      <c r="G11" s="16">
        <v>10142.92</v>
      </c>
      <c r="H11" s="4" t="s">
        <v>30</v>
      </c>
      <c r="I11" s="17">
        <v>40</v>
      </c>
      <c r="J11" s="6">
        <f>G11*I11</f>
        <v>405716.8</v>
      </c>
    </row>
    <row r="12" spans="2:13" ht="33.9" customHeight="1" x14ac:dyDescent="0.3">
      <c r="B12" s="4">
        <v>2</v>
      </c>
      <c r="C12" s="30" t="s">
        <v>34</v>
      </c>
      <c r="D12" s="30"/>
      <c r="E12" s="30"/>
      <c r="F12" s="5">
        <v>1</v>
      </c>
      <c r="G12" s="16">
        <v>14.56</v>
      </c>
      <c r="H12" s="4" t="s">
        <v>35</v>
      </c>
      <c r="I12" s="17">
        <v>2200</v>
      </c>
      <c r="J12" s="6">
        <f>G12*I12</f>
        <v>32032</v>
      </c>
      <c r="M12" s="1">
        <f>G11+'3'!G11+'1'!G11</f>
        <v>23573.74</v>
      </c>
    </row>
    <row r="13" spans="2:13" ht="17.399999999999999" customHeight="1" x14ac:dyDescent="0.35">
      <c r="B13" s="14"/>
      <c r="C13" s="23" t="s">
        <v>18</v>
      </c>
      <c r="D13" s="23"/>
      <c r="E13" s="23"/>
      <c r="F13" s="23"/>
      <c r="G13" s="23"/>
      <c r="H13" s="23"/>
      <c r="I13" s="23"/>
      <c r="J13" s="7">
        <f>SUM(J11:J12)</f>
        <v>437748.8</v>
      </c>
    </row>
    <row r="14" spans="2:13" ht="17.399999999999999" customHeight="1" x14ac:dyDescent="0.35">
      <c r="B14" s="14"/>
      <c r="C14" s="24" t="s">
        <v>23</v>
      </c>
      <c r="D14" s="24"/>
      <c r="E14" s="24"/>
      <c r="F14" s="24"/>
      <c r="G14" s="24"/>
      <c r="H14" s="24"/>
      <c r="I14" s="24"/>
      <c r="J14" s="7">
        <f>J13*18%</f>
        <v>78794.784</v>
      </c>
    </row>
    <row r="15" spans="2:13" ht="17.399999999999999" customHeight="1" x14ac:dyDescent="0.35">
      <c r="B15" s="14"/>
      <c r="C15" s="24"/>
      <c r="D15" s="24"/>
      <c r="E15" s="24"/>
      <c r="F15" s="24"/>
      <c r="G15" s="24"/>
      <c r="H15" s="24"/>
      <c r="I15" s="24"/>
      <c r="J15" s="7"/>
    </row>
    <row r="16" spans="2:13" ht="17.399999999999999" customHeight="1" x14ac:dyDescent="0.35">
      <c r="B16" s="14"/>
      <c r="C16" s="13"/>
      <c r="D16" s="13"/>
      <c r="E16" s="13"/>
      <c r="F16" s="13"/>
      <c r="G16" s="13"/>
      <c r="H16" s="13"/>
      <c r="I16" s="13"/>
      <c r="J16" s="18">
        <f>J13+J14+J15</f>
        <v>516543.58399999997</v>
      </c>
    </row>
    <row r="17" spans="2:12" ht="15.5" x14ac:dyDescent="0.35">
      <c r="B17" s="8"/>
      <c r="C17" s="25" t="s">
        <v>37</v>
      </c>
      <c r="D17" s="25"/>
      <c r="E17" s="25"/>
      <c r="F17" s="25"/>
      <c r="G17" s="25"/>
      <c r="H17" s="25"/>
      <c r="I17" s="25"/>
      <c r="J17" s="25"/>
    </row>
    <row r="18" spans="2:12" ht="15.5" x14ac:dyDescent="0.35">
      <c r="B18" s="14"/>
      <c r="C18" s="26" t="s">
        <v>12</v>
      </c>
      <c r="D18" s="26"/>
      <c r="E18" s="26"/>
      <c r="F18" s="8"/>
      <c r="G18" s="8"/>
      <c r="H18" s="8"/>
      <c r="I18" s="8"/>
      <c r="J18" s="9">
        <v>0</v>
      </c>
    </row>
    <row r="19" spans="2:12" ht="15.5" x14ac:dyDescent="0.35">
      <c r="B19" s="14"/>
      <c r="C19" s="26" t="s">
        <v>20</v>
      </c>
      <c r="D19" s="26"/>
      <c r="E19" s="26"/>
      <c r="F19" s="8"/>
      <c r="G19" s="8"/>
      <c r="H19" s="8"/>
      <c r="I19" s="8"/>
      <c r="J19" s="9">
        <f>J16*5%</f>
        <v>25827.179199999999</v>
      </c>
    </row>
    <row r="20" spans="2:12" ht="15.5" x14ac:dyDescent="0.35">
      <c r="B20" s="14"/>
      <c r="C20" s="26" t="s">
        <v>13</v>
      </c>
      <c r="D20" s="26"/>
      <c r="E20" s="26"/>
      <c r="F20" s="8"/>
      <c r="G20" s="8" t="s">
        <v>19</v>
      </c>
      <c r="H20" s="8"/>
      <c r="I20" s="8"/>
      <c r="J20" s="19">
        <f>J16-J19</f>
        <v>490716.40479999996</v>
      </c>
    </row>
    <row r="21" spans="2:12" ht="15.5" x14ac:dyDescent="0.35">
      <c r="B21" s="8"/>
      <c r="C21" s="26"/>
      <c r="D21" s="26"/>
      <c r="E21" s="26"/>
      <c r="F21" s="8"/>
      <c r="G21" s="8"/>
      <c r="H21" s="8"/>
      <c r="I21" s="8"/>
      <c r="J21" s="8"/>
      <c r="L21" s="11"/>
    </row>
    <row r="22" spans="2:12" x14ac:dyDescent="0.3">
      <c r="B22" s="27" t="s">
        <v>14</v>
      </c>
      <c r="C22" s="27"/>
      <c r="D22" s="27"/>
      <c r="E22" s="27"/>
      <c r="F22" s="27"/>
      <c r="G22" s="27"/>
      <c r="H22" s="27"/>
      <c r="I22" s="27"/>
      <c r="J22" s="27"/>
    </row>
    <row r="23" spans="2:12" x14ac:dyDescent="0.3">
      <c r="B23" s="27"/>
      <c r="C23" s="27"/>
      <c r="D23" s="27"/>
      <c r="E23" s="27"/>
      <c r="F23" s="27"/>
      <c r="G23" s="27"/>
      <c r="H23" s="27"/>
      <c r="I23" s="27"/>
      <c r="J23" s="27"/>
    </row>
    <row r="24" spans="2:12" x14ac:dyDescent="0.3">
      <c r="B24" s="27"/>
      <c r="C24" s="27"/>
      <c r="D24" s="27"/>
      <c r="E24" s="27"/>
      <c r="F24" s="27"/>
      <c r="G24" s="27"/>
      <c r="H24" s="27"/>
      <c r="I24" s="27"/>
      <c r="J24" s="27"/>
    </row>
    <row r="27" spans="2:12" ht="14.15" customHeight="1" x14ac:dyDescent="0.3">
      <c r="B27" s="28" t="s">
        <v>15</v>
      </c>
      <c r="C27" s="28"/>
      <c r="D27" s="28"/>
      <c r="E27" s="28"/>
      <c r="F27" s="28"/>
      <c r="G27" s="28"/>
      <c r="H27" s="28"/>
      <c r="I27" s="28"/>
      <c r="J27" s="28"/>
    </row>
    <row r="28" spans="2:12" ht="14.15" customHeight="1" x14ac:dyDescent="0.3">
      <c r="B28" s="28"/>
      <c r="C28" s="28"/>
      <c r="D28" s="28"/>
      <c r="E28" s="28"/>
      <c r="F28" s="28"/>
      <c r="G28" s="28"/>
      <c r="H28" s="28"/>
      <c r="I28" s="28"/>
      <c r="J28" s="28"/>
    </row>
    <row r="29" spans="2:12" x14ac:dyDescent="0.3">
      <c r="B29" s="28"/>
      <c r="C29" s="28"/>
      <c r="D29" s="28"/>
      <c r="E29" s="28"/>
      <c r="F29" s="28"/>
      <c r="G29" s="28"/>
      <c r="H29" s="28"/>
      <c r="I29" s="28"/>
      <c r="J29" s="28"/>
    </row>
    <row r="30" spans="2:12" x14ac:dyDescent="0.3">
      <c r="B30" s="28"/>
      <c r="C30" s="28"/>
      <c r="D30" s="28"/>
      <c r="E30" s="28"/>
      <c r="F30" s="28"/>
      <c r="G30" s="28"/>
      <c r="H30" s="28"/>
      <c r="I30" s="28"/>
      <c r="J30" s="28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</sheetData>
  <mergeCells count="28">
    <mergeCell ref="B2:J2"/>
    <mergeCell ref="B4:C4"/>
    <mergeCell ref="D4:G4"/>
    <mergeCell ref="H4:I4"/>
    <mergeCell ref="B5:C5"/>
    <mergeCell ref="D5:J5"/>
    <mergeCell ref="C14:I14"/>
    <mergeCell ref="B6:G6"/>
    <mergeCell ref="I6:J6"/>
    <mergeCell ref="B7:C7"/>
    <mergeCell ref="D7:G7"/>
    <mergeCell ref="I7:J7"/>
    <mergeCell ref="B8:C8"/>
    <mergeCell ref="D8:J8"/>
    <mergeCell ref="B9:J9"/>
    <mergeCell ref="C10:E10"/>
    <mergeCell ref="C11:E11"/>
    <mergeCell ref="C12:E12"/>
    <mergeCell ref="C13:I13"/>
    <mergeCell ref="B22:J24"/>
    <mergeCell ref="B27:J28"/>
    <mergeCell ref="B29:J30"/>
    <mergeCell ref="C15:I15"/>
    <mergeCell ref="C17:J17"/>
    <mergeCell ref="C18:E18"/>
    <mergeCell ref="C19:E19"/>
    <mergeCell ref="C20:E20"/>
    <mergeCell ref="C21:E2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BF95-CCCF-4C80-9AA4-70E5EE037B61}">
  <sheetPr>
    <pageSetUpPr fitToPage="1"/>
  </sheetPr>
  <dimension ref="B2:L33"/>
  <sheetViews>
    <sheetView zoomScale="85" zoomScaleNormal="85" workbookViewId="0">
      <selection activeCell="C13" sqref="C13:E13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0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0" ht="15.65" customHeight="1" x14ac:dyDescent="0.35">
      <c r="B4" s="22" t="s">
        <v>16</v>
      </c>
      <c r="C4" s="22"/>
      <c r="D4" s="26" t="s">
        <v>24</v>
      </c>
      <c r="E4" s="26"/>
      <c r="F4" s="26"/>
      <c r="G4" s="26"/>
      <c r="H4" s="36" t="s">
        <v>22</v>
      </c>
      <c r="I4" s="36"/>
      <c r="J4" s="8" t="s">
        <v>39</v>
      </c>
    </row>
    <row r="5" spans="2:10" ht="18.899999999999999" customHeight="1" x14ac:dyDescent="0.3">
      <c r="B5" s="28" t="s">
        <v>1</v>
      </c>
      <c r="C5" s="28"/>
      <c r="D5" s="27" t="s">
        <v>25</v>
      </c>
      <c r="E5" s="27"/>
      <c r="F5" s="27"/>
      <c r="G5" s="27"/>
      <c r="H5" s="27"/>
      <c r="I5" s="27"/>
      <c r="J5" s="27"/>
    </row>
    <row r="6" spans="2:10" ht="30.9" customHeight="1" x14ac:dyDescent="0.35">
      <c r="B6" s="31" t="s">
        <v>31</v>
      </c>
      <c r="C6" s="31"/>
      <c r="D6" s="31"/>
      <c r="E6" s="31"/>
      <c r="F6" s="31"/>
      <c r="G6" s="31"/>
      <c r="H6" s="10" t="s">
        <v>2</v>
      </c>
      <c r="I6" s="32">
        <v>45311</v>
      </c>
      <c r="J6" s="33"/>
    </row>
    <row r="7" spans="2:10" ht="20.149999999999999" customHeight="1" x14ac:dyDescent="0.3">
      <c r="B7" s="34" t="s">
        <v>3</v>
      </c>
      <c r="C7" s="34"/>
      <c r="D7" s="30" t="s">
        <v>27</v>
      </c>
      <c r="E7" s="30"/>
      <c r="F7" s="30"/>
      <c r="G7" s="30"/>
      <c r="H7" s="3" t="s">
        <v>17</v>
      </c>
      <c r="I7" s="32">
        <v>45310</v>
      </c>
      <c r="J7" s="33"/>
    </row>
    <row r="8" spans="2:10" ht="18.899999999999999" customHeight="1" x14ac:dyDescent="0.3">
      <c r="B8" s="28" t="s">
        <v>5</v>
      </c>
      <c r="C8" s="28"/>
      <c r="D8" s="27" t="s">
        <v>28</v>
      </c>
      <c r="E8" s="27"/>
      <c r="F8" s="27"/>
      <c r="G8" s="27"/>
      <c r="H8" s="27"/>
      <c r="I8" s="27"/>
      <c r="J8" s="27"/>
    </row>
    <row r="9" spans="2:10" ht="20.399999999999999" customHeight="1" x14ac:dyDescent="0.3">
      <c r="B9" s="28" t="s">
        <v>4</v>
      </c>
      <c r="C9" s="28"/>
      <c r="D9" s="28"/>
      <c r="E9" s="28"/>
      <c r="F9" s="28"/>
      <c r="G9" s="28"/>
      <c r="H9" s="28"/>
      <c r="I9" s="28"/>
      <c r="J9" s="28"/>
    </row>
    <row r="10" spans="2:10" ht="30" x14ac:dyDescent="0.3">
      <c r="B10" s="2" t="s">
        <v>11</v>
      </c>
      <c r="C10" s="29" t="s">
        <v>6</v>
      </c>
      <c r="D10" s="29"/>
      <c r="E10" s="29"/>
      <c r="F10" s="3" t="s">
        <v>7</v>
      </c>
      <c r="G10" s="15" t="s">
        <v>8</v>
      </c>
      <c r="H10" s="15" t="s">
        <v>9</v>
      </c>
      <c r="I10" s="2" t="s">
        <v>21</v>
      </c>
      <c r="J10" s="13" t="s">
        <v>10</v>
      </c>
    </row>
    <row r="11" spans="2:10" ht="33.9" customHeight="1" x14ac:dyDescent="0.3">
      <c r="B11" s="4">
        <v>1</v>
      </c>
      <c r="C11" s="30" t="s">
        <v>40</v>
      </c>
      <c r="D11" s="30"/>
      <c r="E11" s="30"/>
      <c r="F11" s="5">
        <v>1</v>
      </c>
      <c r="G11" s="16">
        <v>3767.65</v>
      </c>
      <c r="H11" s="4" t="s">
        <v>30</v>
      </c>
      <c r="I11" s="17">
        <v>70</v>
      </c>
      <c r="J11" s="6">
        <f>G11*I11</f>
        <v>263735.5</v>
      </c>
    </row>
    <row r="12" spans="2:10" ht="33.9" customHeight="1" x14ac:dyDescent="0.3">
      <c r="B12" s="4">
        <v>2</v>
      </c>
      <c r="C12" s="30" t="s">
        <v>41</v>
      </c>
      <c r="D12" s="30"/>
      <c r="E12" s="30"/>
      <c r="F12" s="5">
        <v>1</v>
      </c>
      <c r="G12" s="16">
        <v>159.81</v>
      </c>
      <c r="H12" s="4" t="s">
        <v>30</v>
      </c>
      <c r="I12" s="17">
        <v>40</v>
      </c>
      <c r="J12" s="6">
        <f>G12*I12</f>
        <v>6392.4</v>
      </c>
    </row>
    <row r="13" spans="2:10" ht="33.9" customHeight="1" x14ac:dyDescent="0.3">
      <c r="B13" s="4">
        <v>3</v>
      </c>
      <c r="C13" s="30" t="s">
        <v>42</v>
      </c>
      <c r="D13" s="30"/>
      <c r="E13" s="30"/>
      <c r="F13" s="5">
        <v>1</v>
      </c>
      <c r="G13" s="16">
        <v>468</v>
      </c>
      <c r="H13" s="4" t="s">
        <v>43</v>
      </c>
      <c r="I13" s="17">
        <v>55</v>
      </c>
      <c r="J13" s="6">
        <f>G13*I13</f>
        <v>25740</v>
      </c>
    </row>
    <row r="14" spans="2:10" ht="17.399999999999999" customHeight="1" x14ac:dyDescent="0.35">
      <c r="B14" s="14"/>
      <c r="C14" s="23" t="s">
        <v>18</v>
      </c>
      <c r="D14" s="23"/>
      <c r="E14" s="23"/>
      <c r="F14" s="23"/>
      <c r="G14" s="23"/>
      <c r="H14" s="23"/>
      <c r="I14" s="23"/>
      <c r="J14" s="7">
        <f>SUM(J11:J13)</f>
        <v>295867.90000000002</v>
      </c>
    </row>
    <row r="15" spans="2:10" ht="17.399999999999999" customHeight="1" x14ac:dyDescent="0.35">
      <c r="B15" s="14"/>
      <c r="C15" s="24" t="s">
        <v>23</v>
      </c>
      <c r="D15" s="24"/>
      <c r="E15" s="24"/>
      <c r="F15" s="24"/>
      <c r="G15" s="24"/>
      <c r="H15" s="24"/>
      <c r="I15" s="24"/>
      <c r="J15" s="7">
        <f>J14*18%</f>
        <v>53256.222000000002</v>
      </c>
    </row>
    <row r="16" spans="2:10" ht="17.399999999999999" customHeight="1" x14ac:dyDescent="0.35">
      <c r="B16" s="14"/>
      <c r="C16" s="24"/>
      <c r="D16" s="24"/>
      <c r="E16" s="24"/>
      <c r="F16" s="24"/>
      <c r="G16" s="24"/>
      <c r="H16" s="24"/>
      <c r="I16" s="24"/>
      <c r="J16" s="7"/>
    </row>
    <row r="17" spans="2:12" ht="17.399999999999999" customHeight="1" x14ac:dyDescent="0.35">
      <c r="B17" s="14"/>
      <c r="C17" s="13"/>
      <c r="D17" s="13"/>
      <c r="E17" s="13"/>
      <c r="F17" s="13"/>
      <c r="G17" s="13"/>
      <c r="H17" s="13"/>
      <c r="I17" s="13"/>
      <c r="J17" s="18">
        <f>J14+J15+J16</f>
        <v>349124.12200000003</v>
      </c>
    </row>
    <row r="18" spans="2:12" ht="15.5" x14ac:dyDescent="0.35">
      <c r="B18" s="8"/>
      <c r="C18" s="25" t="s">
        <v>44</v>
      </c>
      <c r="D18" s="25"/>
      <c r="E18" s="25"/>
      <c r="F18" s="25"/>
      <c r="G18" s="25"/>
      <c r="H18" s="25"/>
      <c r="I18" s="25"/>
      <c r="J18" s="25"/>
    </row>
    <row r="19" spans="2:12" ht="15.5" x14ac:dyDescent="0.35">
      <c r="B19" s="14"/>
      <c r="C19" s="26" t="s">
        <v>12</v>
      </c>
      <c r="D19" s="26"/>
      <c r="E19" s="26"/>
      <c r="F19" s="8"/>
      <c r="G19" s="8"/>
      <c r="H19" s="8"/>
      <c r="I19" s="8"/>
      <c r="J19" s="9">
        <v>0</v>
      </c>
    </row>
    <row r="20" spans="2:12" ht="15.5" x14ac:dyDescent="0.35">
      <c r="B20" s="14"/>
      <c r="C20" s="26" t="s">
        <v>20</v>
      </c>
      <c r="D20" s="26"/>
      <c r="E20" s="26"/>
      <c r="F20" s="8"/>
      <c r="G20" s="8"/>
      <c r="H20" s="8"/>
      <c r="I20" s="8"/>
      <c r="J20" s="9">
        <f>J17*5%</f>
        <v>17456.206100000003</v>
      </c>
    </row>
    <row r="21" spans="2:12" ht="15.5" x14ac:dyDescent="0.35">
      <c r="B21" s="14"/>
      <c r="C21" s="26" t="s">
        <v>13</v>
      </c>
      <c r="D21" s="26"/>
      <c r="E21" s="26"/>
      <c r="F21" s="8"/>
      <c r="G21" s="8" t="s">
        <v>19</v>
      </c>
      <c r="H21" s="8"/>
      <c r="I21" s="8"/>
      <c r="J21" s="19">
        <f>J17-J20</f>
        <v>331667.91590000002</v>
      </c>
    </row>
    <row r="22" spans="2:12" ht="15.5" x14ac:dyDescent="0.35">
      <c r="B22" s="8"/>
      <c r="C22" s="26"/>
      <c r="D22" s="26"/>
      <c r="E22" s="26"/>
      <c r="F22" s="8"/>
      <c r="G22" s="8"/>
      <c r="H22" s="8"/>
      <c r="I22" s="8"/>
      <c r="J22" s="8"/>
      <c r="L22" s="11"/>
    </row>
    <row r="23" spans="2:12" x14ac:dyDescent="0.3">
      <c r="B23" s="27" t="s">
        <v>14</v>
      </c>
      <c r="C23" s="27"/>
      <c r="D23" s="27"/>
      <c r="E23" s="27"/>
      <c r="F23" s="27"/>
      <c r="G23" s="27"/>
      <c r="H23" s="27"/>
      <c r="I23" s="27"/>
      <c r="J23" s="27"/>
    </row>
    <row r="24" spans="2:12" x14ac:dyDescent="0.3">
      <c r="B24" s="27"/>
      <c r="C24" s="27"/>
      <c r="D24" s="27"/>
      <c r="E24" s="27"/>
      <c r="F24" s="27"/>
      <c r="G24" s="27"/>
      <c r="H24" s="27"/>
      <c r="I24" s="27"/>
      <c r="J24" s="27"/>
    </row>
    <row r="25" spans="2:12" x14ac:dyDescent="0.3">
      <c r="B25" s="27"/>
      <c r="C25" s="27"/>
      <c r="D25" s="27"/>
      <c r="E25" s="27"/>
      <c r="F25" s="27"/>
      <c r="G25" s="27"/>
      <c r="H25" s="27"/>
      <c r="I25" s="27"/>
      <c r="J25" s="27"/>
    </row>
    <row r="28" spans="2:12" ht="14.15" customHeight="1" x14ac:dyDescent="0.3">
      <c r="B28" s="28" t="s">
        <v>15</v>
      </c>
      <c r="C28" s="28"/>
      <c r="D28" s="28"/>
      <c r="E28" s="28"/>
      <c r="F28" s="28"/>
      <c r="G28" s="28"/>
      <c r="H28" s="28"/>
      <c r="I28" s="28"/>
      <c r="J28" s="28"/>
    </row>
    <row r="29" spans="2:12" ht="14.15" customHeight="1" x14ac:dyDescent="0.3">
      <c r="B29" s="28"/>
      <c r="C29" s="28"/>
      <c r="D29" s="28"/>
      <c r="E29" s="28"/>
      <c r="F29" s="28"/>
      <c r="G29" s="28"/>
      <c r="H29" s="28"/>
      <c r="I29" s="28"/>
      <c r="J29" s="28"/>
    </row>
    <row r="30" spans="2:12" x14ac:dyDescent="0.3">
      <c r="B30" s="28"/>
      <c r="C30" s="28"/>
      <c r="D30" s="28"/>
      <c r="E30" s="28"/>
      <c r="F30" s="28"/>
      <c r="G30" s="28"/>
      <c r="H30" s="28"/>
      <c r="I30" s="28"/>
      <c r="J30" s="28"/>
    </row>
    <row r="31" spans="2:12" x14ac:dyDescent="0.3">
      <c r="B31" s="28"/>
      <c r="C31" s="28"/>
      <c r="D31" s="28"/>
      <c r="E31" s="28"/>
      <c r="F31" s="28"/>
      <c r="G31" s="28"/>
      <c r="H31" s="28"/>
      <c r="I31" s="28"/>
      <c r="J31" s="28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  <row r="33" spans="2:10" ht="15.5" x14ac:dyDescent="0.35">
      <c r="B33" s="8"/>
      <c r="C33" s="8"/>
      <c r="D33" s="8"/>
      <c r="E33" s="8"/>
      <c r="F33" s="8"/>
      <c r="G33" s="8"/>
      <c r="H33" s="8"/>
      <c r="I33" s="8"/>
      <c r="J33" s="8"/>
    </row>
  </sheetData>
  <mergeCells count="29">
    <mergeCell ref="B23:J25"/>
    <mergeCell ref="B28:J29"/>
    <mergeCell ref="B30:J31"/>
    <mergeCell ref="C11:E11"/>
    <mergeCell ref="C12:E12"/>
    <mergeCell ref="C16:I16"/>
    <mergeCell ref="C18:J18"/>
    <mergeCell ref="C19:E19"/>
    <mergeCell ref="C20:E20"/>
    <mergeCell ref="C21:E21"/>
    <mergeCell ref="C22:E22"/>
    <mergeCell ref="B9:J9"/>
    <mergeCell ref="C10:E10"/>
    <mergeCell ref="C13:E13"/>
    <mergeCell ref="C14:I14"/>
    <mergeCell ref="C15:I15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7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50CEE-CBE5-4B28-A005-D6DB7662901A}">
  <sheetPr>
    <pageSetUpPr fitToPage="1"/>
  </sheetPr>
  <dimension ref="B2:L32"/>
  <sheetViews>
    <sheetView topLeftCell="A6" zoomScale="85" zoomScaleNormal="85" workbookViewId="0">
      <selection activeCell="N21" sqref="N21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0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0" ht="15.65" customHeight="1" x14ac:dyDescent="0.35">
      <c r="B4" s="22" t="s">
        <v>16</v>
      </c>
      <c r="C4" s="22"/>
      <c r="D4" s="26" t="s">
        <v>24</v>
      </c>
      <c r="E4" s="26"/>
      <c r="F4" s="26"/>
      <c r="G4" s="26"/>
      <c r="H4" s="36" t="s">
        <v>22</v>
      </c>
      <c r="I4" s="36"/>
      <c r="J4" s="8" t="s">
        <v>45</v>
      </c>
    </row>
    <row r="5" spans="2:10" ht="18.899999999999999" customHeight="1" x14ac:dyDescent="0.3">
      <c r="B5" s="28" t="s">
        <v>1</v>
      </c>
      <c r="C5" s="28"/>
      <c r="D5" s="27" t="s">
        <v>25</v>
      </c>
      <c r="E5" s="27"/>
      <c r="F5" s="27"/>
      <c r="G5" s="27"/>
      <c r="H5" s="27"/>
      <c r="I5" s="27"/>
      <c r="J5" s="27"/>
    </row>
    <row r="6" spans="2:10" ht="30.9" customHeight="1" x14ac:dyDescent="0.35">
      <c r="B6" s="31" t="s">
        <v>31</v>
      </c>
      <c r="C6" s="31"/>
      <c r="D6" s="31"/>
      <c r="E6" s="31"/>
      <c r="F6" s="31"/>
      <c r="G6" s="31"/>
      <c r="H6" s="10" t="s">
        <v>2</v>
      </c>
      <c r="I6" s="32">
        <v>45359</v>
      </c>
      <c r="J6" s="33"/>
    </row>
    <row r="7" spans="2:10" ht="20.149999999999999" customHeight="1" x14ac:dyDescent="0.3">
      <c r="B7" s="34" t="s">
        <v>3</v>
      </c>
      <c r="C7" s="34"/>
      <c r="D7" s="30" t="s">
        <v>46</v>
      </c>
      <c r="E7" s="30"/>
      <c r="F7" s="30"/>
      <c r="G7" s="30"/>
      <c r="H7" s="3" t="s">
        <v>17</v>
      </c>
      <c r="I7" s="32">
        <v>45357</v>
      </c>
      <c r="J7" s="33"/>
    </row>
    <row r="8" spans="2:10" ht="18.899999999999999" customHeight="1" x14ac:dyDescent="0.3">
      <c r="B8" s="28" t="s">
        <v>5</v>
      </c>
      <c r="C8" s="28"/>
      <c r="D8" s="27" t="s">
        <v>46</v>
      </c>
      <c r="E8" s="27"/>
      <c r="F8" s="27"/>
      <c r="G8" s="27"/>
      <c r="H8" s="27"/>
      <c r="I8" s="27"/>
      <c r="J8" s="27"/>
    </row>
    <row r="9" spans="2:10" ht="20.399999999999999" customHeight="1" x14ac:dyDescent="0.3">
      <c r="B9" s="28" t="s">
        <v>4</v>
      </c>
      <c r="C9" s="28"/>
      <c r="D9" s="28"/>
      <c r="E9" s="28"/>
      <c r="F9" s="28"/>
      <c r="G9" s="28"/>
      <c r="H9" s="28"/>
      <c r="I9" s="28"/>
      <c r="J9" s="28"/>
    </row>
    <row r="10" spans="2:10" ht="30" x14ac:dyDescent="0.3">
      <c r="B10" s="2" t="s">
        <v>11</v>
      </c>
      <c r="C10" s="29" t="s">
        <v>6</v>
      </c>
      <c r="D10" s="29"/>
      <c r="E10" s="29"/>
      <c r="F10" s="3" t="s">
        <v>7</v>
      </c>
      <c r="G10" s="15" t="s">
        <v>8</v>
      </c>
      <c r="H10" s="15" t="s">
        <v>9</v>
      </c>
      <c r="I10" s="2" t="s">
        <v>21</v>
      </c>
      <c r="J10" s="13" t="s">
        <v>10</v>
      </c>
    </row>
    <row r="11" spans="2:10" ht="33.9" customHeight="1" x14ac:dyDescent="0.3">
      <c r="B11" s="4">
        <v>1</v>
      </c>
      <c r="C11" s="30" t="s">
        <v>47</v>
      </c>
      <c r="D11" s="30"/>
      <c r="E11" s="30"/>
      <c r="F11" s="5">
        <v>1</v>
      </c>
      <c r="G11" s="16">
        <v>3583.65</v>
      </c>
      <c r="H11" s="4" t="s">
        <v>30</v>
      </c>
      <c r="I11" s="17">
        <v>70</v>
      </c>
      <c r="J11" s="6">
        <f>G11*I11</f>
        <v>250855.5</v>
      </c>
    </row>
    <row r="12" spans="2:10" ht="33.9" customHeight="1" x14ac:dyDescent="0.3">
      <c r="B12" s="4">
        <v>2</v>
      </c>
      <c r="C12" s="30" t="s">
        <v>48</v>
      </c>
      <c r="D12" s="30"/>
      <c r="E12" s="30"/>
      <c r="F12" s="5">
        <v>1</v>
      </c>
      <c r="G12" s="16">
        <v>159.81</v>
      </c>
      <c r="H12" s="4" t="s">
        <v>30</v>
      </c>
      <c r="I12" s="17">
        <v>40</v>
      </c>
      <c r="J12" s="6">
        <f>G12*I12</f>
        <v>6392.4</v>
      </c>
    </row>
    <row r="13" spans="2:10" ht="17.399999999999999" customHeight="1" x14ac:dyDescent="0.35">
      <c r="B13" s="14"/>
      <c r="C13" s="23" t="s">
        <v>18</v>
      </c>
      <c r="D13" s="23"/>
      <c r="E13" s="23"/>
      <c r="F13" s="23"/>
      <c r="G13" s="23"/>
      <c r="H13" s="23"/>
      <c r="I13" s="23"/>
      <c r="J13" s="7">
        <f>SUM(J11:J12)</f>
        <v>257247.9</v>
      </c>
    </row>
    <row r="14" spans="2:10" ht="17.399999999999999" customHeight="1" x14ac:dyDescent="0.35">
      <c r="B14" s="14"/>
      <c r="C14" s="24" t="s">
        <v>23</v>
      </c>
      <c r="D14" s="24"/>
      <c r="E14" s="24"/>
      <c r="F14" s="24"/>
      <c r="G14" s="24"/>
      <c r="H14" s="24"/>
      <c r="I14" s="24"/>
      <c r="J14" s="7">
        <f>J13*18%</f>
        <v>46304.621999999996</v>
      </c>
    </row>
    <row r="15" spans="2:10" ht="17.399999999999999" customHeight="1" x14ac:dyDescent="0.35">
      <c r="B15" s="14"/>
      <c r="C15" s="24"/>
      <c r="D15" s="24"/>
      <c r="E15" s="24"/>
      <c r="F15" s="24"/>
      <c r="G15" s="24"/>
      <c r="H15" s="24"/>
      <c r="I15" s="24"/>
      <c r="J15" s="7"/>
    </row>
    <row r="16" spans="2:10" ht="17.399999999999999" customHeight="1" x14ac:dyDescent="0.35">
      <c r="B16" s="14"/>
      <c r="C16" s="13"/>
      <c r="D16" s="13"/>
      <c r="E16" s="13"/>
      <c r="F16" s="13"/>
      <c r="G16" s="13"/>
      <c r="H16" s="13"/>
      <c r="I16" s="13"/>
      <c r="J16" s="18">
        <f>J13+J14+J15</f>
        <v>303552.522</v>
      </c>
    </row>
    <row r="17" spans="2:12" ht="15.5" x14ac:dyDescent="0.35">
      <c r="B17" s="8"/>
      <c r="C17" s="25" t="s">
        <v>49</v>
      </c>
      <c r="D17" s="25"/>
      <c r="E17" s="25"/>
      <c r="F17" s="25"/>
      <c r="G17" s="25"/>
      <c r="H17" s="25"/>
      <c r="I17" s="25"/>
      <c r="J17" s="25"/>
    </row>
    <row r="18" spans="2:12" ht="15.5" x14ac:dyDescent="0.35">
      <c r="B18" s="14"/>
      <c r="C18" s="26" t="s">
        <v>12</v>
      </c>
      <c r="D18" s="26"/>
      <c r="E18" s="26"/>
      <c r="F18" s="8"/>
      <c r="G18" s="8"/>
      <c r="H18" s="8"/>
      <c r="I18" s="8"/>
      <c r="J18" s="9">
        <v>0</v>
      </c>
    </row>
    <row r="19" spans="2:12" ht="15.5" x14ac:dyDescent="0.35">
      <c r="B19" s="14"/>
      <c r="C19" s="26" t="s">
        <v>20</v>
      </c>
      <c r="D19" s="26"/>
      <c r="E19" s="26"/>
      <c r="F19" s="8"/>
      <c r="G19" s="8"/>
      <c r="H19" s="8"/>
      <c r="I19" s="8"/>
      <c r="J19" s="9"/>
    </row>
    <row r="20" spans="2:12" ht="15.5" x14ac:dyDescent="0.35">
      <c r="B20" s="14"/>
      <c r="C20" s="26" t="s">
        <v>13</v>
      </c>
      <c r="D20" s="26"/>
      <c r="E20" s="26"/>
      <c r="F20" s="8"/>
      <c r="G20" s="8" t="s">
        <v>19</v>
      </c>
      <c r="H20" s="8"/>
      <c r="I20" s="8"/>
      <c r="J20" s="19"/>
    </row>
    <row r="21" spans="2:12" ht="15.5" x14ac:dyDescent="0.35">
      <c r="B21" s="8"/>
      <c r="C21" s="26"/>
      <c r="D21" s="26"/>
      <c r="E21" s="26"/>
      <c r="F21" s="8"/>
      <c r="G21" s="8"/>
      <c r="H21" s="8"/>
      <c r="I21" s="8"/>
      <c r="J21" s="8"/>
      <c r="L21" s="11"/>
    </row>
    <row r="22" spans="2:12" x14ac:dyDescent="0.3">
      <c r="B22" s="27" t="s">
        <v>14</v>
      </c>
      <c r="C22" s="27"/>
      <c r="D22" s="27"/>
      <c r="E22" s="27"/>
      <c r="F22" s="27"/>
      <c r="G22" s="27"/>
      <c r="H22" s="27"/>
      <c r="I22" s="27"/>
      <c r="J22" s="27"/>
    </row>
    <row r="23" spans="2:12" x14ac:dyDescent="0.3">
      <c r="B23" s="27"/>
      <c r="C23" s="27"/>
      <c r="D23" s="27"/>
      <c r="E23" s="27"/>
      <c r="F23" s="27"/>
      <c r="G23" s="27"/>
      <c r="H23" s="27"/>
      <c r="I23" s="27"/>
      <c r="J23" s="27"/>
    </row>
    <row r="24" spans="2:12" x14ac:dyDescent="0.3">
      <c r="B24" s="27"/>
      <c r="C24" s="27"/>
      <c r="D24" s="27"/>
      <c r="E24" s="27"/>
      <c r="F24" s="27"/>
      <c r="G24" s="27"/>
      <c r="H24" s="27"/>
      <c r="I24" s="27"/>
      <c r="J24" s="27"/>
    </row>
    <row r="27" spans="2:12" ht="14.15" customHeight="1" x14ac:dyDescent="0.3">
      <c r="B27" s="28" t="s">
        <v>15</v>
      </c>
      <c r="C27" s="28"/>
      <c r="D27" s="28"/>
      <c r="E27" s="28"/>
      <c r="F27" s="28"/>
      <c r="G27" s="28"/>
      <c r="H27" s="28"/>
      <c r="I27" s="28"/>
      <c r="J27" s="28"/>
    </row>
    <row r="28" spans="2:12" ht="14.15" customHeight="1" x14ac:dyDescent="0.3">
      <c r="B28" s="28"/>
      <c r="C28" s="28"/>
      <c r="D28" s="28"/>
      <c r="E28" s="28"/>
      <c r="F28" s="28"/>
      <c r="G28" s="28"/>
      <c r="H28" s="28"/>
      <c r="I28" s="28"/>
      <c r="J28" s="28"/>
    </row>
    <row r="29" spans="2:12" x14ac:dyDescent="0.3">
      <c r="B29" s="28"/>
      <c r="C29" s="28"/>
      <c r="D29" s="28"/>
      <c r="E29" s="28"/>
      <c r="F29" s="28"/>
      <c r="G29" s="28"/>
      <c r="H29" s="28"/>
      <c r="I29" s="28"/>
      <c r="J29" s="28"/>
    </row>
    <row r="30" spans="2:12" x14ac:dyDescent="0.3">
      <c r="B30" s="28"/>
      <c r="C30" s="28"/>
      <c r="D30" s="28"/>
      <c r="E30" s="28"/>
      <c r="F30" s="28"/>
      <c r="G30" s="28"/>
      <c r="H30" s="28"/>
      <c r="I30" s="28"/>
      <c r="J30" s="28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</sheetData>
  <mergeCells count="28">
    <mergeCell ref="C21:E21"/>
    <mergeCell ref="B22:J24"/>
    <mergeCell ref="B27:J28"/>
    <mergeCell ref="B29:J30"/>
    <mergeCell ref="C14:I14"/>
    <mergeCell ref="C15:I15"/>
    <mergeCell ref="C17:J17"/>
    <mergeCell ref="C18:E18"/>
    <mergeCell ref="C19:E19"/>
    <mergeCell ref="C20:E20"/>
    <mergeCell ref="B9:J9"/>
    <mergeCell ref="C10:E10"/>
    <mergeCell ref="C12:E12"/>
    <mergeCell ref="C13:I13"/>
    <mergeCell ref="B6:G6"/>
    <mergeCell ref="I6:J6"/>
    <mergeCell ref="B7:C7"/>
    <mergeCell ref="D7:G7"/>
    <mergeCell ref="I7:J7"/>
    <mergeCell ref="B8:C8"/>
    <mergeCell ref="D8:J8"/>
    <mergeCell ref="C11:E11"/>
    <mergeCell ref="B2:J2"/>
    <mergeCell ref="B4:C4"/>
    <mergeCell ref="D4:G4"/>
    <mergeCell ref="H4:I4"/>
    <mergeCell ref="B5:C5"/>
    <mergeCell ref="D5:J5"/>
  </mergeCells>
  <pageMargins left="0.7" right="0.7" top="0.75" bottom="0.75" header="0.3" footer="0.3"/>
  <pageSetup paperSize="9" scale="7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2F75C-FC1B-4D86-9760-2639910ACD21}">
  <sheetPr>
    <pageSetUpPr fitToPage="1"/>
  </sheetPr>
  <dimension ref="B2:L31"/>
  <sheetViews>
    <sheetView topLeftCell="A2" zoomScale="85" zoomScaleNormal="85" workbookViewId="0">
      <selection activeCell="C11" sqref="C11:E11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0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0" ht="15.65" customHeight="1" x14ac:dyDescent="0.35">
      <c r="B4" s="22" t="s">
        <v>16</v>
      </c>
      <c r="C4" s="22"/>
      <c r="D4" s="26" t="s">
        <v>24</v>
      </c>
      <c r="E4" s="26"/>
      <c r="F4" s="26"/>
      <c r="G4" s="26"/>
      <c r="H4" s="36" t="s">
        <v>22</v>
      </c>
      <c r="I4" s="36"/>
      <c r="J4" s="8" t="s">
        <v>51</v>
      </c>
    </row>
    <row r="5" spans="2:10" ht="18.899999999999999" customHeight="1" x14ac:dyDescent="0.3">
      <c r="B5" s="28" t="s">
        <v>1</v>
      </c>
      <c r="C5" s="28"/>
      <c r="D5" s="27" t="s">
        <v>25</v>
      </c>
      <c r="E5" s="27"/>
      <c r="F5" s="27"/>
      <c r="G5" s="27"/>
      <c r="H5" s="27"/>
      <c r="I5" s="27"/>
      <c r="J5" s="27"/>
    </row>
    <row r="6" spans="2:10" ht="30.9" customHeight="1" x14ac:dyDescent="0.35">
      <c r="B6" s="31" t="s">
        <v>31</v>
      </c>
      <c r="C6" s="31"/>
      <c r="D6" s="31"/>
      <c r="E6" s="31"/>
      <c r="F6" s="31"/>
      <c r="G6" s="31"/>
      <c r="H6" s="10" t="s">
        <v>2</v>
      </c>
      <c r="I6" s="32">
        <v>45359</v>
      </c>
      <c r="J6" s="33"/>
    </row>
    <row r="7" spans="2:10" ht="20.149999999999999" customHeight="1" x14ac:dyDescent="0.3">
      <c r="B7" s="34" t="s">
        <v>3</v>
      </c>
      <c r="C7" s="34"/>
      <c r="D7" s="30" t="s">
        <v>50</v>
      </c>
      <c r="E7" s="30"/>
      <c r="F7" s="30"/>
      <c r="G7" s="30"/>
      <c r="H7" s="3" t="s">
        <v>17</v>
      </c>
      <c r="I7" s="32">
        <v>45356</v>
      </c>
      <c r="J7" s="33"/>
    </row>
    <row r="8" spans="2:10" ht="18.899999999999999" customHeight="1" x14ac:dyDescent="0.3">
      <c r="B8" s="28" t="s">
        <v>5</v>
      </c>
      <c r="C8" s="28"/>
      <c r="D8" s="27" t="s">
        <v>50</v>
      </c>
      <c r="E8" s="27"/>
      <c r="F8" s="27"/>
      <c r="G8" s="27"/>
      <c r="H8" s="27"/>
      <c r="I8" s="27"/>
      <c r="J8" s="27"/>
    </row>
    <row r="9" spans="2:10" ht="20.399999999999999" customHeight="1" x14ac:dyDescent="0.3">
      <c r="B9" s="28" t="s">
        <v>4</v>
      </c>
      <c r="C9" s="28"/>
      <c r="D9" s="28"/>
      <c r="E9" s="28"/>
      <c r="F9" s="28"/>
      <c r="G9" s="28"/>
      <c r="H9" s="28"/>
      <c r="I9" s="28"/>
      <c r="J9" s="28"/>
    </row>
    <row r="10" spans="2:10" ht="30" x14ac:dyDescent="0.3">
      <c r="B10" s="2" t="s">
        <v>11</v>
      </c>
      <c r="C10" s="29" t="s">
        <v>6</v>
      </c>
      <c r="D10" s="29"/>
      <c r="E10" s="29"/>
      <c r="F10" s="3" t="s">
        <v>7</v>
      </c>
      <c r="G10" s="15" t="s">
        <v>8</v>
      </c>
      <c r="H10" s="15" t="s">
        <v>9</v>
      </c>
      <c r="I10" s="2" t="s">
        <v>21</v>
      </c>
      <c r="J10" s="13" t="s">
        <v>10</v>
      </c>
    </row>
    <row r="11" spans="2:10" ht="33.9" customHeight="1" x14ac:dyDescent="0.3">
      <c r="B11" s="4">
        <v>1</v>
      </c>
      <c r="C11" s="30" t="s">
        <v>52</v>
      </c>
      <c r="D11" s="30"/>
      <c r="E11" s="30"/>
      <c r="F11" s="5">
        <v>1</v>
      </c>
      <c r="G11" s="16">
        <v>12620</v>
      </c>
      <c r="H11" s="4" t="s">
        <v>30</v>
      </c>
      <c r="I11" s="17">
        <v>35</v>
      </c>
      <c r="J11" s="6">
        <f>G11*I11</f>
        <v>441700</v>
      </c>
    </row>
    <row r="12" spans="2:10" ht="17.399999999999999" customHeight="1" x14ac:dyDescent="0.35">
      <c r="B12" s="14"/>
      <c r="C12" s="23" t="s">
        <v>18</v>
      </c>
      <c r="D12" s="23"/>
      <c r="E12" s="23"/>
      <c r="F12" s="23"/>
      <c r="G12" s="23"/>
      <c r="H12" s="23"/>
      <c r="I12" s="23"/>
      <c r="J12" s="7">
        <f>SUM(J11:J11)</f>
        <v>441700</v>
      </c>
    </row>
    <row r="13" spans="2:10" ht="17.399999999999999" customHeight="1" x14ac:dyDescent="0.35">
      <c r="B13" s="14"/>
      <c r="C13" s="24" t="s">
        <v>23</v>
      </c>
      <c r="D13" s="24"/>
      <c r="E13" s="24"/>
      <c r="F13" s="24"/>
      <c r="G13" s="24"/>
      <c r="H13" s="24"/>
      <c r="I13" s="24"/>
      <c r="J13" s="7">
        <f>J12*18%</f>
        <v>79506</v>
      </c>
    </row>
    <row r="14" spans="2:10" ht="17.399999999999999" customHeight="1" x14ac:dyDescent="0.35">
      <c r="B14" s="14"/>
      <c r="C14" s="24"/>
      <c r="D14" s="24"/>
      <c r="E14" s="24"/>
      <c r="F14" s="24"/>
      <c r="G14" s="24"/>
      <c r="H14" s="24"/>
      <c r="I14" s="24"/>
      <c r="J14" s="7"/>
    </row>
    <row r="15" spans="2:10" ht="17.399999999999999" customHeight="1" x14ac:dyDescent="0.35">
      <c r="B15" s="14"/>
      <c r="C15" s="13"/>
      <c r="D15" s="13"/>
      <c r="E15" s="13"/>
      <c r="F15" s="13"/>
      <c r="G15" s="13"/>
      <c r="H15" s="13"/>
      <c r="I15" s="13"/>
      <c r="J15" s="18">
        <f>J12+J13+J14</f>
        <v>521206</v>
      </c>
    </row>
    <row r="16" spans="2:10" ht="15.5" x14ac:dyDescent="0.35">
      <c r="B16" s="8"/>
      <c r="C16" s="25" t="s">
        <v>53</v>
      </c>
      <c r="D16" s="25"/>
      <c r="E16" s="25"/>
      <c r="F16" s="25"/>
      <c r="G16" s="25"/>
      <c r="H16" s="25"/>
      <c r="I16" s="25"/>
      <c r="J16" s="25"/>
    </row>
    <row r="17" spans="2:12" ht="15.5" x14ac:dyDescent="0.35">
      <c r="B17" s="14"/>
      <c r="C17" s="26" t="s">
        <v>12</v>
      </c>
      <c r="D17" s="26"/>
      <c r="E17" s="26"/>
      <c r="F17" s="8"/>
      <c r="G17" s="8"/>
      <c r="H17" s="8"/>
      <c r="I17" s="8"/>
      <c r="J17" s="9">
        <v>0</v>
      </c>
    </row>
    <row r="18" spans="2:12" ht="15.5" x14ac:dyDescent="0.35">
      <c r="B18" s="14"/>
      <c r="C18" s="26" t="s">
        <v>20</v>
      </c>
      <c r="D18" s="26"/>
      <c r="E18" s="26"/>
      <c r="F18" s="8"/>
      <c r="G18" s="8"/>
      <c r="H18" s="8"/>
      <c r="I18" s="8"/>
      <c r="J18" s="9"/>
    </row>
    <row r="19" spans="2:12" ht="15.5" x14ac:dyDescent="0.35">
      <c r="B19" s="14"/>
      <c r="C19" s="26" t="s">
        <v>13</v>
      </c>
      <c r="D19" s="26"/>
      <c r="E19" s="26"/>
      <c r="F19" s="8"/>
      <c r="G19" s="8" t="s">
        <v>19</v>
      </c>
      <c r="H19" s="8"/>
      <c r="I19" s="8"/>
      <c r="J19" s="19"/>
    </row>
    <row r="20" spans="2:12" ht="15.5" x14ac:dyDescent="0.35">
      <c r="B20" s="8"/>
      <c r="C20" s="26"/>
      <c r="D20" s="26"/>
      <c r="E20" s="26"/>
      <c r="F20" s="8"/>
      <c r="G20" s="8"/>
      <c r="H20" s="8"/>
      <c r="I20" s="8"/>
      <c r="J20" s="8"/>
      <c r="L20" s="11"/>
    </row>
    <row r="21" spans="2:12" x14ac:dyDescent="0.3">
      <c r="B21" s="27" t="s">
        <v>14</v>
      </c>
      <c r="C21" s="27"/>
      <c r="D21" s="27"/>
      <c r="E21" s="27"/>
      <c r="F21" s="27"/>
      <c r="G21" s="27"/>
      <c r="H21" s="27"/>
      <c r="I21" s="27"/>
      <c r="J21" s="27"/>
    </row>
    <row r="22" spans="2:12" x14ac:dyDescent="0.3">
      <c r="B22" s="27"/>
      <c r="C22" s="27"/>
      <c r="D22" s="27"/>
      <c r="E22" s="27"/>
      <c r="F22" s="27"/>
      <c r="G22" s="27"/>
      <c r="H22" s="27"/>
      <c r="I22" s="27"/>
      <c r="J22" s="27"/>
    </row>
    <row r="23" spans="2:12" x14ac:dyDescent="0.3">
      <c r="B23" s="27"/>
      <c r="C23" s="27"/>
      <c r="D23" s="27"/>
      <c r="E23" s="27"/>
      <c r="F23" s="27"/>
      <c r="G23" s="27"/>
      <c r="H23" s="27"/>
      <c r="I23" s="27"/>
      <c r="J23" s="27"/>
    </row>
    <row r="26" spans="2:12" ht="14.15" customHeight="1" x14ac:dyDescent="0.3">
      <c r="B26" s="28" t="s">
        <v>15</v>
      </c>
      <c r="C26" s="28"/>
      <c r="D26" s="28"/>
      <c r="E26" s="28"/>
      <c r="F26" s="28"/>
      <c r="G26" s="28"/>
      <c r="H26" s="28"/>
      <c r="I26" s="28"/>
      <c r="J26" s="28"/>
    </row>
    <row r="27" spans="2:12" ht="14.15" customHeight="1" x14ac:dyDescent="0.3">
      <c r="B27" s="28"/>
      <c r="C27" s="28"/>
      <c r="D27" s="28"/>
      <c r="E27" s="28"/>
      <c r="F27" s="28"/>
      <c r="G27" s="28"/>
      <c r="H27" s="28"/>
      <c r="I27" s="28"/>
      <c r="J27" s="28"/>
    </row>
    <row r="28" spans="2:12" x14ac:dyDescent="0.3">
      <c r="B28" s="28"/>
      <c r="C28" s="28"/>
      <c r="D28" s="28"/>
      <c r="E28" s="28"/>
      <c r="F28" s="28"/>
      <c r="G28" s="28"/>
      <c r="H28" s="28"/>
      <c r="I28" s="28"/>
      <c r="J28" s="28"/>
    </row>
    <row r="29" spans="2:12" x14ac:dyDescent="0.3">
      <c r="B29" s="28"/>
      <c r="C29" s="28"/>
      <c r="D29" s="28"/>
      <c r="E29" s="28"/>
      <c r="F29" s="28"/>
      <c r="G29" s="28"/>
      <c r="H29" s="28"/>
      <c r="I29" s="28"/>
      <c r="J29" s="28"/>
    </row>
    <row r="30" spans="2:12" ht="15.5" x14ac:dyDescent="0.35">
      <c r="B30" s="8"/>
      <c r="C30" s="8"/>
      <c r="D30" s="8"/>
      <c r="E30" s="8"/>
      <c r="F30" s="8"/>
      <c r="G30" s="8"/>
      <c r="H30" s="8"/>
      <c r="I30" s="8"/>
      <c r="J30" s="8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</sheetData>
  <mergeCells count="27">
    <mergeCell ref="B2:J2"/>
    <mergeCell ref="B4:C4"/>
    <mergeCell ref="D4:G4"/>
    <mergeCell ref="H4:I4"/>
    <mergeCell ref="B5:C5"/>
    <mergeCell ref="D5:J5"/>
    <mergeCell ref="C14:I14"/>
    <mergeCell ref="B6:G6"/>
    <mergeCell ref="I6:J6"/>
    <mergeCell ref="B7:C7"/>
    <mergeCell ref="D7:G7"/>
    <mergeCell ref="I7:J7"/>
    <mergeCell ref="B8:C8"/>
    <mergeCell ref="D8:J8"/>
    <mergeCell ref="B9:J9"/>
    <mergeCell ref="C10:E10"/>
    <mergeCell ref="C11:E11"/>
    <mergeCell ref="C12:I12"/>
    <mergeCell ref="C13:I13"/>
    <mergeCell ref="B26:J27"/>
    <mergeCell ref="B28:J29"/>
    <mergeCell ref="C16:J16"/>
    <mergeCell ref="C17:E17"/>
    <mergeCell ref="C18:E18"/>
    <mergeCell ref="C19:E19"/>
    <mergeCell ref="C20:E20"/>
    <mergeCell ref="B21:J23"/>
  </mergeCells>
  <pageMargins left="0.7" right="0.7" top="0.75" bottom="0.75" header="0.3" footer="0.3"/>
  <pageSetup paperSize="9" scale="7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55591-401C-4B9B-A7E7-5D0F06A73152}">
  <sheetPr>
    <pageSetUpPr fitToPage="1"/>
  </sheetPr>
  <dimension ref="B2:L31"/>
  <sheetViews>
    <sheetView topLeftCell="A7" zoomScale="85" zoomScaleNormal="85" workbookViewId="0">
      <selection activeCell="C11" sqref="C11:E11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0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0" ht="15.65" customHeight="1" x14ac:dyDescent="0.35">
      <c r="B4" s="22" t="s">
        <v>16</v>
      </c>
      <c r="C4" s="22"/>
      <c r="D4" s="26" t="s">
        <v>24</v>
      </c>
      <c r="E4" s="26"/>
      <c r="F4" s="26"/>
      <c r="G4" s="26"/>
      <c r="H4" s="36" t="s">
        <v>22</v>
      </c>
      <c r="I4" s="36"/>
      <c r="J4" s="8" t="s">
        <v>54</v>
      </c>
    </row>
    <row r="5" spans="2:10" ht="18.899999999999999" customHeight="1" x14ac:dyDescent="0.3">
      <c r="B5" s="28" t="s">
        <v>1</v>
      </c>
      <c r="C5" s="28"/>
      <c r="D5" s="27" t="s">
        <v>25</v>
      </c>
      <c r="E5" s="27"/>
      <c r="F5" s="27"/>
      <c r="G5" s="27"/>
      <c r="H5" s="27"/>
      <c r="I5" s="27"/>
      <c r="J5" s="27"/>
    </row>
    <row r="6" spans="2:10" ht="30.9" customHeight="1" x14ac:dyDescent="0.35">
      <c r="B6" s="31" t="s">
        <v>31</v>
      </c>
      <c r="C6" s="31"/>
      <c r="D6" s="31"/>
      <c r="E6" s="31"/>
      <c r="F6" s="31"/>
      <c r="G6" s="31"/>
      <c r="H6" s="10" t="s">
        <v>2</v>
      </c>
      <c r="I6" s="32">
        <v>45419</v>
      </c>
      <c r="J6" s="33"/>
    </row>
    <row r="7" spans="2:10" ht="20.149999999999999" customHeight="1" x14ac:dyDescent="0.3">
      <c r="B7" s="34" t="s">
        <v>3</v>
      </c>
      <c r="C7" s="34"/>
      <c r="D7" s="30" t="s">
        <v>57</v>
      </c>
      <c r="E7" s="30"/>
      <c r="F7" s="30"/>
      <c r="G7" s="30"/>
      <c r="H7" s="3" t="s">
        <v>17</v>
      </c>
      <c r="I7" s="32">
        <v>45411</v>
      </c>
      <c r="J7" s="33"/>
    </row>
    <row r="8" spans="2:10" ht="18.899999999999999" customHeight="1" x14ac:dyDescent="0.3">
      <c r="B8" s="28" t="s">
        <v>5</v>
      </c>
      <c r="C8" s="28"/>
      <c r="D8" s="27" t="s">
        <v>57</v>
      </c>
      <c r="E8" s="27"/>
      <c r="F8" s="27"/>
      <c r="G8" s="27"/>
      <c r="H8" s="27"/>
      <c r="I8" s="27"/>
      <c r="J8" s="27"/>
    </row>
    <row r="9" spans="2:10" ht="20.399999999999999" customHeight="1" x14ac:dyDescent="0.3">
      <c r="B9" s="28" t="s">
        <v>4</v>
      </c>
      <c r="C9" s="28"/>
      <c r="D9" s="28"/>
      <c r="E9" s="28"/>
      <c r="F9" s="28"/>
      <c r="G9" s="28"/>
      <c r="H9" s="28"/>
      <c r="I9" s="28"/>
      <c r="J9" s="28"/>
    </row>
    <row r="10" spans="2:10" ht="30" x14ac:dyDescent="0.3">
      <c r="B10" s="2" t="s">
        <v>11</v>
      </c>
      <c r="C10" s="29" t="s">
        <v>6</v>
      </c>
      <c r="D10" s="29"/>
      <c r="E10" s="29"/>
      <c r="F10" s="3" t="s">
        <v>7</v>
      </c>
      <c r="G10" s="15" t="s">
        <v>8</v>
      </c>
      <c r="H10" s="15" t="s">
        <v>9</v>
      </c>
      <c r="I10" s="2" t="s">
        <v>21</v>
      </c>
      <c r="J10" s="13" t="s">
        <v>10</v>
      </c>
    </row>
    <row r="11" spans="2:10" ht="33.9" customHeight="1" x14ac:dyDescent="0.3">
      <c r="B11" s="4">
        <v>1</v>
      </c>
      <c r="C11" s="30" t="s">
        <v>55</v>
      </c>
      <c r="D11" s="30"/>
      <c r="E11" s="30"/>
      <c r="F11" s="5">
        <v>1</v>
      </c>
      <c r="G11" s="16">
        <v>7486.92</v>
      </c>
      <c r="H11" s="4" t="s">
        <v>30</v>
      </c>
      <c r="I11" s="17">
        <v>22</v>
      </c>
      <c r="J11" s="6">
        <f>G11*I11</f>
        <v>164712.24</v>
      </c>
    </row>
    <row r="12" spans="2:10" ht="17.399999999999999" customHeight="1" x14ac:dyDescent="0.35">
      <c r="B12" s="14"/>
      <c r="C12" s="23" t="s">
        <v>18</v>
      </c>
      <c r="D12" s="23"/>
      <c r="E12" s="23"/>
      <c r="F12" s="23"/>
      <c r="G12" s="23"/>
      <c r="H12" s="23"/>
      <c r="I12" s="23"/>
      <c r="J12" s="7">
        <f>SUM(J11:J11)</f>
        <v>164712.24</v>
      </c>
    </row>
    <row r="13" spans="2:10" ht="17.399999999999999" customHeight="1" x14ac:dyDescent="0.35">
      <c r="B13" s="14"/>
      <c r="C13" s="24" t="s">
        <v>23</v>
      </c>
      <c r="D13" s="24"/>
      <c r="E13" s="24"/>
      <c r="F13" s="24"/>
      <c r="G13" s="24"/>
      <c r="H13" s="24"/>
      <c r="I13" s="24"/>
      <c r="J13" s="7">
        <f>J12*18%</f>
        <v>29648.203199999996</v>
      </c>
    </row>
    <row r="14" spans="2:10" ht="17.399999999999999" customHeight="1" x14ac:dyDescent="0.35">
      <c r="B14" s="14"/>
      <c r="C14" s="24"/>
      <c r="D14" s="24"/>
      <c r="E14" s="24"/>
      <c r="F14" s="24"/>
      <c r="G14" s="24"/>
      <c r="H14" s="24"/>
      <c r="I14" s="24"/>
      <c r="J14" s="7"/>
    </row>
    <row r="15" spans="2:10" ht="17.399999999999999" customHeight="1" x14ac:dyDescent="0.35">
      <c r="B15" s="14"/>
      <c r="C15" s="13"/>
      <c r="D15" s="13"/>
      <c r="E15" s="13"/>
      <c r="F15" s="13"/>
      <c r="G15" s="13"/>
      <c r="H15" s="13"/>
      <c r="I15" s="13"/>
      <c r="J15" s="18">
        <f>J12+J13+J14</f>
        <v>194360.44319999998</v>
      </c>
    </row>
    <row r="16" spans="2:10" ht="15.5" x14ac:dyDescent="0.35">
      <c r="B16" s="8"/>
      <c r="C16" s="25" t="s">
        <v>56</v>
      </c>
      <c r="D16" s="25"/>
      <c r="E16" s="25"/>
      <c r="F16" s="25"/>
      <c r="G16" s="25"/>
      <c r="H16" s="25"/>
      <c r="I16" s="25"/>
      <c r="J16" s="25"/>
    </row>
    <row r="17" spans="2:12" ht="15.5" x14ac:dyDescent="0.35">
      <c r="B17" s="14"/>
      <c r="C17" s="26" t="s">
        <v>12</v>
      </c>
      <c r="D17" s="26"/>
      <c r="E17" s="26"/>
      <c r="F17" s="8"/>
      <c r="G17" s="8"/>
      <c r="H17" s="8"/>
      <c r="I17" s="8"/>
      <c r="J17" s="9">
        <v>0</v>
      </c>
    </row>
    <row r="18" spans="2:12" ht="15.5" x14ac:dyDescent="0.35">
      <c r="B18" s="14"/>
      <c r="C18" s="26" t="s">
        <v>20</v>
      </c>
      <c r="D18" s="26"/>
      <c r="E18" s="26"/>
      <c r="F18" s="8"/>
      <c r="G18" s="8"/>
      <c r="H18" s="8"/>
      <c r="I18" s="8"/>
      <c r="J18" s="9"/>
    </row>
    <row r="19" spans="2:12" ht="15.5" x14ac:dyDescent="0.35">
      <c r="B19" s="14"/>
      <c r="C19" s="26" t="s">
        <v>13</v>
      </c>
      <c r="D19" s="26"/>
      <c r="E19" s="26"/>
      <c r="F19" s="8"/>
      <c r="G19" s="8" t="s">
        <v>19</v>
      </c>
      <c r="H19" s="8"/>
      <c r="I19" s="8"/>
      <c r="J19" s="19"/>
    </row>
    <row r="20" spans="2:12" ht="15.5" x14ac:dyDescent="0.35">
      <c r="B20" s="8"/>
      <c r="C20" s="26"/>
      <c r="D20" s="26"/>
      <c r="E20" s="26"/>
      <c r="F20" s="8"/>
      <c r="G20" s="8"/>
      <c r="H20" s="8"/>
      <c r="I20" s="8"/>
      <c r="J20" s="8"/>
      <c r="L20" s="11"/>
    </row>
    <row r="21" spans="2:12" x14ac:dyDescent="0.3">
      <c r="B21" s="27" t="s">
        <v>14</v>
      </c>
      <c r="C21" s="27"/>
      <c r="D21" s="27"/>
      <c r="E21" s="27"/>
      <c r="F21" s="27"/>
      <c r="G21" s="27"/>
      <c r="H21" s="27"/>
      <c r="I21" s="27"/>
      <c r="J21" s="27"/>
    </row>
    <row r="22" spans="2:12" x14ac:dyDescent="0.3">
      <c r="B22" s="27"/>
      <c r="C22" s="27"/>
      <c r="D22" s="27"/>
      <c r="E22" s="27"/>
      <c r="F22" s="27"/>
      <c r="G22" s="27"/>
      <c r="H22" s="27"/>
      <c r="I22" s="27"/>
      <c r="J22" s="27"/>
    </row>
    <row r="23" spans="2:12" x14ac:dyDescent="0.3">
      <c r="B23" s="27"/>
      <c r="C23" s="27"/>
      <c r="D23" s="27"/>
      <c r="E23" s="27"/>
      <c r="F23" s="27"/>
      <c r="G23" s="27"/>
      <c r="H23" s="27"/>
      <c r="I23" s="27"/>
      <c r="J23" s="27"/>
    </row>
    <row r="26" spans="2:12" ht="14.15" customHeight="1" x14ac:dyDescent="0.3">
      <c r="B26" s="28" t="s">
        <v>15</v>
      </c>
      <c r="C26" s="28"/>
      <c r="D26" s="28"/>
      <c r="E26" s="28"/>
      <c r="F26" s="28"/>
      <c r="G26" s="28"/>
      <c r="H26" s="28"/>
      <c r="I26" s="28"/>
      <c r="J26" s="28"/>
    </row>
    <row r="27" spans="2:12" ht="14.15" customHeight="1" x14ac:dyDescent="0.3">
      <c r="B27" s="28"/>
      <c r="C27" s="28"/>
      <c r="D27" s="28"/>
      <c r="E27" s="28"/>
      <c r="F27" s="28"/>
      <c r="G27" s="28"/>
      <c r="H27" s="28"/>
      <c r="I27" s="28"/>
      <c r="J27" s="28"/>
    </row>
    <row r="28" spans="2:12" x14ac:dyDescent="0.3">
      <c r="B28" s="28"/>
      <c r="C28" s="28"/>
      <c r="D28" s="28"/>
      <c r="E28" s="28"/>
      <c r="F28" s="28"/>
      <c r="G28" s="28"/>
      <c r="H28" s="28"/>
      <c r="I28" s="28"/>
      <c r="J28" s="28"/>
    </row>
    <row r="29" spans="2:12" x14ac:dyDescent="0.3">
      <c r="B29" s="28"/>
      <c r="C29" s="28"/>
      <c r="D29" s="28"/>
      <c r="E29" s="28"/>
      <c r="F29" s="28"/>
      <c r="G29" s="28"/>
      <c r="H29" s="28"/>
      <c r="I29" s="28"/>
      <c r="J29" s="28"/>
    </row>
    <row r="30" spans="2:12" ht="15.5" x14ac:dyDescent="0.35">
      <c r="B30" s="8"/>
      <c r="C30" s="8"/>
      <c r="D30" s="8"/>
      <c r="E30" s="8"/>
      <c r="F30" s="8"/>
      <c r="G30" s="8"/>
      <c r="H30" s="8"/>
      <c r="I30" s="8"/>
      <c r="J30" s="8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</sheetData>
  <mergeCells count="27">
    <mergeCell ref="B2:J2"/>
    <mergeCell ref="B4:C4"/>
    <mergeCell ref="D4:G4"/>
    <mergeCell ref="H4:I4"/>
    <mergeCell ref="B5:C5"/>
    <mergeCell ref="D5:J5"/>
    <mergeCell ref="C14:I14"/>
    <mergeCell ref="B6:G6"/>
    <mergeCell ref="I6:J6"/>
    <mergeCell ref="B7:C7"/>
    <mergeCell ref="D7:G7"/>
    <mergeCell ref="I7:J7"/>
    <mergeCell ref="B8:C8"/>
    <mergeCell ref="D8:J8"/>
    <mergeCell ref="B9:J9"/>
    <mergeCell ref="C10:E10"/>
    <mergeCell ref="C11:E11"/>
    <mergeCell ref="C12:I12"/>
    <mergeCell ref="C13:I13"/>
    <mergeCell ref="B26:J27"/>
    <mergeCell ref="B28:J29"/>
    <mergeCell ref="C16:J16"/>
    <mergeCell ref="C17:E17"/>
    <mergeCell ref="C18:E18"/>
    <mergeCell ref="C19:E19"/>
    <mergeCell ref="C20:E20"/>
    <mergeCell ref="B21:J23"/>
  </mergeCells>
  <pageMargins left="0.7" right="0.7" top="0.75" bottom="0.75" header="0.3" footer="0.3"/>
  <pageSetup paperSize="9" scale="7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99A0-31B8-4848-9D13-5526E966BB72}">
  <sheetPr>
    <pageSetUpPr fitToPage="1"/>
  </sheetPr>
  <dimension ref="B2:L33"/>
  <sheetViews>
    <sheetView zoomScale="85" zoomScaleNormal="85" workbookViewId="0">
      <selection activeCell="I7" sqref="I7:J7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0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0" ht="15.65" customHeight="1" x14ac:dyDescent="0.35">
      <c r="B4" s="22" t="s">
        <v>16</v>
      </c>
      <c r="C4" s="22"/>
      <c r="D4" s="26" t="s">
        <v>24</v>
      </c>
      <c r="E4" s="26"/>
      <c r="F4" s="26"/>
      <c r="G4" s="26"/>
      <c r="H4" s="36" t="s">
        <v>22</v>
      </c>
      <c r="I4" s="36"/>
      <c r="J4" s="8" t="s">
        <v>58</v>
      </c>
    </row>
    <row r="5" spans="2:10" ht="18.899999999999999" customHeight="1" x14ac:dyDescent="0.3">
      <c r="B5" s="28" t="s">
        <v>1</v>
      </c>
      <c r="C5" s="28"/>
      <c r="D5" s="27" t="s">
        <v>25</v>
      </c>
      <c r="E5" s="27"/>
      <c r="F5" s="27"/>
      <c r="G5" s="27"/>
      <c r="H5" s="27"/>
      <c r="I5" s="27"/>
      <c r="J5" s="27"/>
    </row>
    <row r="6" spans="2:10" ht="30.9" customHeight="1" x14ac:dyDescent="0.35">
      <c r="B6" s="31" t="s">
        <v>31</v>
      </c>
      <c r="C6" s="31"/>
      <c r="D6" s="31"/>
      <c r="E6" s="31"/>
      <c r="F6" s="31"/>
      <c r="G6" s="31"/>
      <c r="H6" s="10" t="s">
        <v>2</v>
      </c>
      <c r="I6" s="32">
        <v>45451</v>
      </c>
      <c r="J6" s="33"/>
    </row>
    <row r="7" spans="2:10" ht="20.149999999999999" customHeight="1" x14ac:dyDescent="0.3">
      <c r="B7" s="34" t="s">
        <v>3</v>
      </c>
      <c r="C7" s="34"/>
      <c r="D7" s="30" t="s">
        <v>57</v>
      </c>
      <c r="E7" s="30"/>
      <c r="F7" s="30"/>
      <c r="G7" s="30"/>
      <c r="H7" s="3" t="s">
        <v>17</v>
      </c>
      <c r="I7" s="32">
        <v>45448</v>
      </c>
      <c r="J7" s="33"/>
    </row>
    <row r="8" spans="2:10" ht="18.899999999999999" customHeight="1" x14ac:dyDescent="0.3">
      <c r="B8" s="28" t="s">
        <v>5</v>
      </c>
      <c r="C8" s="28"/>
      <c r="D8" s="27" t="s">
        <v>57</v>
      </c>
      <c r="E8" s="27"/>
      <c r="F8" s="27"/>
      <c r="G8" s="27"/>
      <c r="H8" s="27"/>
      <c r="I8" s="27"/>
      <c r="J8" s="27"/>
    </row>
    <row r="9" spans="2:10" ht="20.399999999999999" customHeight="1" x14ac:dyDescent="0.3">
      <c r="B9" s="28" t="s">
        <v>4</v>
      </c>
      <c r="C9" s="28"/>
      <c r="D9" s="28"/>
      <c r="E9" s="28"/>
      <c r="F9" s="28"/>
      <c r="G9" s="28"/>
      <c r="H9" s="28"/>
      <c r="I9" s="28"/>
      <c r="J9" s="28"/>
    </row>
    <row r="10" spans="2:10" ht="30" x14ac:dyDescent="0.3">
      <c r="B10" s="2" t="s">
        <v>11</v>
      </c>
      <c r="C10" s="29" t="s">
        <v>6</v>
      </c>
      <c r="D10" s="29"/>
      <c r="E10" s="29"/>
      <c r="F10" s="3" t="s">
        <v>7</v>
      </c>
      <c r="G10" s="15" t="s">
        <v>8</v>
      </c>
      <c r="H10" s="15" t="s">
        <v>9</v>
      </c>
      <c r="I10" s="2" t="s">
        <v>21</v>
      </c>
      <c r="J10" s="13" t="s">
        <v>10</v>
      </c>
    </row>
    <row r="11" spans="2:10" ht="33.9" customHeight="1" x14ac:dyDescent="0.3">
      <c r="B11" s="4">
        <v>1</v>
      </c>
      <c r="C11" s="30" t="s">
        <v>59</v>
      </c>
      <c r="D11" s="30"/>
      <c r="E11" s="30"/>
      <c r="F11" s="5">
        <v>1</v>
      </c>
      <c r="G11" s="16">
        <v>6784.38</v>
      </c>
      <c r="H11" s="4" t="s">
        <v>30</v>
      </c>
      <c r="I11" s="17">
        <v>22</v>
      </c>
      <c r="J11" s="6">
        <f>G11*I11</f>
        <v>149256.36000000002</v>
      </c>
    </row>
    <row r="12" spans="2:10" ht="33.9" customHeight="1" x14ac:dyDescent="0.3">
      <c r="B12" s="4">
        <v>2</v>
      </c>
      <c r="C12" s="30" t="s">
        <v>60</v>
      </c>
      <c r="D12" s="30"/>
      <c r="E12" s="30"/>
      <c r="F12" s="5">
        <v>1</v>
      </c>
      <c r="G12" s="16">
        <v>6590.1</v>
      </c>
      <c r="H12" s="4" t="s">
        <v>30</v>
      </c>
      <c r="I12" s="17">
        <v>70</v>
      </c>
      <c r="J12" s="6">
        <f>G12*I12</f>
        <v>461307</v>
      </c>
    </row>
    <row r="13" spans="2:10" ht="33.9" customHeight="1" x14ac:dyDescent="0.3">
      <c r="B13" s="4">
        <v>3</v>
      </c>
      <c r="C13" s="30" t="s">
        <v>29</v>
      </c>
      <c r="D13" s="30"/>
      <c r="E13" s="30"/>
      <c r="F13" s="5">
        <v>1</v>
      </c>
      <c r="G13" s="16">
        <v>194.28</v>
      </c>
      <c r="H13" s="4" t="s">
        <v>30</v>
      </c>
      <c r="I13" s="17">
        <v>40</v>
      </c>
      <c r="J13" s="6">
        <f>G13*I13</f>
        <v>7771.2</v>
      </c>
    </row>
    <row r="14" spans="2:10" ht="17.399999999999999" customHeight="1" x14ac:dyDescent="0.35">
      <c r="B14" s="14"/>
      <c r="C14" s="23" t="s">
        <v>18</v>
      </c>
      <c r="D14" s="23"/>
      <c r="E14" s="23"/>
      <c r="F14" s="23"/>
      <c r="G14" s="23"/>
      <c r="H14" s="23"/>
      <c r="I14" s="23"/>
      <c r="J14" s="7">
        <f>SUM(J11:J13)</f>
        <v>618334.55999999994</v>
      </c>
    </row>
    <row r="15" spans="2:10" ht="17.399999999999999" customHeight="1" x14ac:dyDescent="0.35">
      <c r="B15" s="14"/>
      <c r="C15" s="24" t="s">
        <v>23</v>
      </c>
      <c r="D15" s="24"/>
      <c r="E15" s="24"/>
      <c r="F15" s="24"/>
      <c r="G15" s="24"/>
      <c r="H15" s="24"/>
      <c r="I15" s="24"/>
      <c r="J15" s="7">
        <f>J14*18%</f>
        <v>111300.22079999998</v>
      </c>
    </row>
    <row r="16" spans="2:10" ht="17.399999999999999" customHeight="1" x14ac:dyDescent="0.35">
      <c r="B16" s="14"/>
      <c r="C16" s="24"/>
      <c r="D16" s="24"/>
      <c r="E16" s="24"/>
      <c r="F16" s="24"/>
      <c r="G16" s="24"/>
      <c r="H16" s="24"/>
      <c r="I16" s="24"/>
      <c r="J16" s="7"/>
    </row>
    <row r="17" spans="2:12" ht="17.399999999999999" customHeight="1" x14ac:dyDescent="0.35">
      <c r="B17" s="14"/>
      <c r="C17" s="13"/>
      <c r="D17" s="13"/>
      <c r="E17" s="13"/>
      <c r="F17" s="13"/>
      <c r="G17" s="13"/>
      <c r="H17" s="13"/>
      <c r="I17" s="13"/>
      <c r="J17" s="18">
        <f>J14+J15+J16</f>
        <v>729634.78079999995</v>
      </c>
    </row>
    <row r="18" spans="2:12" ht="15.5" x14ac:dyDescent="0.35">
      <c r="B18" s="8"/>
      <c r="C18" s="25" t="s">
        <v>61</v>
      </c>
      <c r="D18" s="25"/>
      <c r="E18" s="25"/>
      <c r="F18" s="25"/>
      <c r="G18" s="25"/>
      <c r="H18" s="25"/>
      <c r="I18" s="25"/>
      <c r="J18" s="25"/>
    </row>
    <row r="19" spans="2:12" ht="15.5" x14ac:dyDescent="0.35">
      <c r="B19" s="14"/>
      <c r="C19" s="26" t="s">
        <v>12</v>
      </c>
      <c r="D19" s="26"/>
      <c r="E19" s="26"/>
      <c r="F19" s="8"/>
      <c r="G19" s="8"/>
      <c r="H19" s="8"/>
      <c r="I19" s="8"/>
      <c r="J19" s="9">
        <v>0</v>
      </c>
    </row>
    <row r="20" spans="2:12" ht="15.5" x14ac:dyDescent="0.35">
      <c r="B20" s="14"/>
      <c r="C20" s="26" t="s">
        <v>20</v>
      </c>
      <c r="D20" s="26"/>
      <c r="E20" s="26"/>
      <c r="F20" s="8"/>
      <c r="G20" s="8"/>
      <c r="H20" s="8"/>
      <c r="I20" s="8"/>
      <c r="J20" s="9"/>
    </row>
    <row r="21" spans="2:12" ht="15.5" x14ac:dyDescent="0.35">
      <c r="B21" s="14"/>
      <c r="C21" s="26" t="s">
        <v>13</v>
      </c>
      <c r="D21" s="26"/>
      <c r="E21" s="26"/>
      <c r="F21" s="8"/>
      <c r="G21" s="8" t="s">
        <v>19</v>
      </c>
      <c r="H21" s="8"/>
      <c r="I21" s="8"/>
      <c r="J21" s="19"/>
    </row>
    <row r="22" spans="2:12" ht="15.5" x14ac:dyDescent="0.35">
      <c r="B22" s="8"/>
      <c r="C22" s="26"/>
      <c r="D22" s="26"/>
      <c r="E22" s="26"/>
      <c r="F22" s="8"/>
      <c r="G22" s="8"/>
      <c r="H22" s="8"/>
      <c r="I22" s="8"/>
      <c r="J22" s="8"/>
      <c r="L22" s="11"/>
    </row>
    <row r="23" spans="2:12" x14ac:dyDescent="0.3">
      <c r="B23" s="27" t="s">
        <v>14</v>
      </c>
      <c r="C23" s="27"/>
      <c r="D23" s="27"/>
      <c r="E23" s="27"/>
      <c r="F23" s="27"/>
      <c r="G23" s="27"/>
      <c r="H23" s="27"/>
      <c r="I23" s="27"/>
      <c r="J23" s="27"/>
    </row>
    <row r="24" spans="2:12" x14ac:dyDescent="0.3">
      <c r="B24" s="27"/>
      <c r="C24" s="27"/>
      <c r="D24" s="27"/>
      <c r="E24" s="27"/>
      <c r="F24" s="27"/>
      <c r="G24" s="27"/>
      <c r="H24" s="27"/>
      <c r="I24" s="27"/>
      <c r="J24" s="27"/>
    </row>
    <row r="25" spans="2:12" x14ac:dyDescent="0.3">
      <c r="B25" s="27"/>
      <c r="C25" s="27"/>
      <c r="D25" s="27"/>
      <c r="E25" s="27"/>
      <c r="F25" s="27"/>
      <c r="G25" s="27"/>
      <c r="H25" s="27"/>
      <c r="I25" s="27"/>
      <c r="J25" s="27"/>
    </row>
    <row r="28" spans="2:12" ht="14.15" customHeight="1" x14ac:dyDescent="0.3">
      <c r="B28" s="28" t="s">
        <v>15</v>
      </c>
      <c r="C28" s="28"/>
      <c r="D28" s="28"/>
      <c r="E28" s="28"/>
      <c r="F28" s="28"/>
      <c r="G28" s="28"/>
      <c r="H28" s="28"/>
      <c r="I28" s="28"/>
      <c r="J28" s="28"/>
    </row>
    <row r="29" spans="2:12" ht="14.15" customHeight="1" x14ac:dyDescent="0.3">
      <c r="B29" s="28"/>
      <c r="C29" s="28"/>
      <c r="D29" s="28"/>
      <c r="E29" s="28"/>
      <c r="F29" s="28"/>
      <c r="G29" s="28"/>
      <c r="H29" s="28"/>
      <c r="I29" s="28"/>
      <c r="J29" s="28"/>
    </row>
    <row r="30" spans="2:12" x14ac:dyDescent="0.3">
      <c r="B30" s="28"/>
      <c r="C30" s="28"/>
      <c r="D30" s="28"/>
      <c r="E30" s="28"/>
      <c r="F30" s="28"/>
      <c r="G30" s="28"/>
      <c r="H30" s="28"/>
      <c r="I30" s="28"/>
      <c r="J30" s="28"/>
    </row>
    <row r="31" spans="2:12" x14ac:dyDescent="0.3">
      <c r="B31" s="28"/>
      <c r="C31" s="28"/>
      <c r="D31" s="28"/>
      <c r="E31" s="28"/>
      <c r="F31" s="28"/>
      <c r="G31" s="28"/>
      <c r="H31" s="28"/>
      <c r="I31" s="28"/>
      <c r="J31" s="28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  <row r="33" spans="2:10" ht="15.5" x14ac:dyDescent="0.35">
      <c r="B33" s="8"/>
      <c r="C33" s="8"/>
      <c r="D33" s="8"/>
      <c r="E33" s="8"/>
      <c r="F33" s="8"/>
      <c r="G33" s="8"/>
      <c r="H33" s="8"/>
      <c r="I33" s="8"/>
      <c r="J33" s="8"/>
    </row>
  </sheetData>
  <mergeCells count="29">
    <mergeCell ref="B28:J29"/>
    <mergeCell ref="B30:J31"/>
    <mergeCell ref="C11:E11"/>
    <mergeCell ref="C12:E12"/>
    <mergeCell ref="C18:J18"/>
    <mergeCell ref="C19:E19"/>
    <mergeCell ref="C20:E20"/>
    <mergeCell ref="C21:E21"/>
    <mergeCell ref="C22:E22"/>
    <mergeCell ref="B23:J25"/>
    <mergeCell ref="C16:I16"/>
    <mergeCell ref="B9:J9"/>
    <mergeCell ref="C10:E10"/>
    <mergeCell ref="C13:E13"/>
    <mergeCell ref="C14:I14"/>
    <mergeCell ref="C15:I15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7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7A27-16FC-4A82-98AF-FFB7C47DE383}">
  <sheetPr>
    <pageSetUpPr fitToPage="1"/>
  </sheetPr>
  <dimension ref="B2:L31"/>
  <sheetViews>
    <sheetView topLeftCell="A7" zoomScale="85" zoomScaleNormal="85" workbookViewId="0">
      <selection activeCell="B2" sqref="B2:J30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0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0" ht="15.65" customHeight="1" x14ac:dyDescent="0.35">
      <c r="B4" s="22" t="s">
        <v>16</v>
      </c>
      <c r="C4" s="22"/>
      <c r="D4" s="26" t="s">
        <v>24</v>
      </c>
      <c r="E4" s="26"/>
      <c r="F4" s="26"/>
      <c r="G4" s="26"/>
      <c r="H4" s="36" t="s">
        <v>22</v>
      </c>
      <c r="I4" s="36"/>
      <c r="J4" s="8" t="s">
        <v>62</v>
      </c>
    </row>
    <row r="5" spans="2:10" ht="18.899999999999999" customHeight="1" x14ac:dyDescent="0.3">
      <c r="B5" s="28" t="s">
        <v>1</v>
      </c>
      <c r="C5" s="28"/>
      <c r="D5" s="27" t="s">
        <v>25</v>
      </c>
      <c r="E5" s="27"/>
      <c r="F5" s="27"/>
      <c r="G5" s="27"/>
      <c r="H5" s="27"/>
      <c r="I5" s="27"/>
      <c r="J5" s="27"/>
    </row>
    <row r="6" spans="2:10" ht="30.9" customHeight="1" x14ac:dyDescent="0.35">
      <c r="B6" s="31" t="s">
        <v>31</v>
      </c>
      <c r="C6" s="31"/>
      <c r="D6" s="31"/>
      <c r="E6" s="31"/>
      <c r="F6" s="31"/>
      <c r="G6" s="31"/>
      <c r="H6" s="10" t="s">
        <v>2</v>
      </c>
      <c r="I6" s="32">
        <v>45451</v>
      </c>
      <c r="J6" s="33"/>
    </row>
    <row r="7" spans="2:10" ht="20.149999999999999" customHeight="1" x14ac:dyDescent="0.3">
      <c r="B7" s="34" t="s">
        <v>3</v>
      </c>
      <c r="C7" s="34"/>
      <c r="D7" s="30" t="s">
        <v>57</v>
      </c>
      <c r="E7" s="30"/>
      <c r="F7" s="30"/>
      <c r="G7" s="30"/>
      <c r="H7" s="3" t="s">
        <v>17</v>
      </c>
      <c r="I7" s="32">
        <v>45448</v>
      </c>
      <c r="J7" s="33"/>
    </row>
    <row r="8" spans="2:10" ht="18.899999999999999" customHeight="1" x14ac:dyDescent="0.3">
      <c r="B8" s="28" t="s">
        <v>5</v>
      </c>
      <c r="C8" s="28"/>
      <c r="D8" s="27" t="s">
        <v>57</v>
      </c>
      <c r="E8" s="27"/>
      <c r="F8" s="27"/>
      <c r="G8" s="27"/>
      <c r="H8" s="27"/>
      <c r="I8" s="27"/>
      <c r="J8" s="27"/>
    </row>
    <row r="9" spans="2:10" ht="20.399999999999999" customHeight="1" x14ac:dyDescent="0.3">
      <c r="B9" s="28" t="s">
        <v>4</v>
      </c>
      <c r="C9" s="28"/>
      <c r="D9" s="28"/>
      <c r="E9" s="28"/>
      <c r="F9" s="28"/>
      <c r="G9" s="28"/>
      <c r="H9" s="28"/>
      <c r="I9" s="28"/>
      <c r="J9" s="28"/>
    </row>
    <row r="10" spans="2:10" ht="30" x14ac:dyDescent="0.3">
      <c r="B10" s="2" t="s">
        <v>11</v>
      </c>
      <c r="C10" s="29" t="s">
        <v>6</v>
      </c>
      <c r="D10" s="29"/>
      <c r="E10" s="29"/>
      <c r="F10" s="3" t="s">
        <v>7</v>
      </c>
      <c r="G10" s="15" t="s">
        <v>8</v>
      </c>
      <c r="H10" s="15" t="s">
        <v>9</v>
      </c>
      <c r="I10" s="2" t="s">
        <v>21</v>
      </c>
      <c r="J10" s="13" t="s">
        <v>10</v>
      </c>
    </row>
    <row r="11" spans="2:10" ht="57.5" customHeight="1" x14ac:dyDescent="0.3">
      <c r="B11" s="4">
        <v>1</v>
      </c>
      <c r="C11" s="30" t="s">
        <v>63</v>
      </c>
      <c r="D11" s="30"/>
      <c r="E11" s="30"/>
      <c r="F11" s="5">
        <v>1</v>
      </c>
      <c r="G11" s="16">
        <v>16891.23</v>
      </c>
      <c r="H11" s="4" t="s">
        <v>30</v>
      </c>
      <c r="I11" s="17">
        <v>35</v>
      </c>
      <c r="J11" s="6">
        <f>G11*I11</f>
        <v>591193.04999999993</v>
      </c>
    </row>
    <row r="12" spans="2:10" ht="17.399999999999999" customHeight="1" x14ac:dyDescent="0.35">
      <c r="B12" s="14"/>
      <c r="C12" s="23" t="s">
        <v>18</v>
      </c>
      <c r="D12" s="23"/>
      <c r="E12" s="23"/>
      <c r="F12" s="23"/>
      <c r="G12" s="23"/>
      <c r="H12" s="23"/>
      <c r="I12" s="23"/>
      <c r="J12" s="7">
        <f>SUM(J11:J11)</f>
        <v>591193.04999999993</v>
      </c>
    </row>
    <row r="13" spans="2:10" ht="17.399999999999999" customHeight="1" x14ac:dyDescent="0.35">
      <c r="B13" s="14"/>
      <c r="C13" s="24" t="s">
        <v>23</v>
      </c>
      <c r="D13" s="24"/>
      <c r="E13" s="24"/>
      <c r="F13" s="24"/>
      <c r="G13" s="24"/>
      <c r="H13" s="24"/>
      <c r="I13" s="24"/>
      <c r="J13" s="7">
        <f>J12*18%</f>
        <v>106414.74899999998</v>
      </c>
    </row>
    <row r="14" spans="2:10" ht="17.399999999999999" customHeight="1" x14ac:dyDescent="0.35">
      <c r="B14" s="14"/>
      <c r="C14" s="24"/>
      <c r="D14" s="24"/>
      <c r="E14" s="24"/>
      <c r="F14" s="24"/>
      <c r="G14" s="24"/>
      <c r="H14" s="24"/>
      <c r="I14" s="24"/>
      <c r="J14" s="7"/>
    </row>
    <row r="15" spans="2:10" ht="17.399999999999999" customHeight="1" x14ac:dyDescent="0.35">
      <c r="B15" s="14"/>
      <c r="C15" s="13"/>
      <c r="D15" s="13"/>
      <c r="E15" s="13"/>
      <c r="F15" s="13"/>
      <c r="G15" s="13"/>
      <c r="H15" s="13"/>
      <c r="I15" s="13"/>
      <c r="J15" s="18">
        <f>J12+J13+J14</f>
        <v>697607.79899999988</v>
      </c>
    </row>
    <row r="16" spans="2:10" ht="15.5" x14ac:dyDescent="0.35">
      <c r="B16" s="8"/>
      <c r="C16" s="25" t="s">
        <v>65</v>
      </c>
      <c r="D16" s="25"/>
      <c r="E16" s="25"/>
      <c r="F16" s="25"/>
      <c r="G16" s="25"/>
      <c r="H16" s="25"/>
      <c r="I16" s="25"/>
      <c r="J16" s="25"/>
    </row>
    <row r="17" spans="2:12" ht="15.5" x14ac:dyDescent="0.35">
      <c r="B17" s="14"/>
      <c r="C17" s="26" t="s">
        <v>12</v>
      </c>
      <c r="D17" s="26"/>
      <c r="E17" s="26"/>
      <c r="F17" s="8"/>
      <c r="G17" s="8"/>
      <c r="H17" s="8"/>
      <c r="I17" s="8"/>
      <c r="J17" s="9">
        <v>0</v>
      </c>
    </row>
    <row r="18" spans="2:12" ht="15.5" x14ac:dyDescent="0.35">
      <c r="B18" s="14"/>
      <c r="C18" s="26" t="s">
        <v>20</v>
      </c>
      <c r="D18" s="26"/>
      <c r="E18" s="26"/>
      <c r="F18" s="8"/>
      <c r="G18" s="8"/>
      <c r="H18" s="8"/>
      <c r="I18" s="8"/>
      <c r="J18" s="9"/>
    </row>
    <row r="19" spans="2:12" ht="15.5" x14ac:dyDescent="0.35">
      <c r="B19" s="14"/>
      <c r="C19" s="26" t="s">
        <v>13</v>
      </c>
      <c r="D19" s="26"/>
      <c r="E19" s="26"/>
      <c r="F19" s="8"/>
      <c r="G19" s="8" t="s">
        <v>19</v>
      </c>
      <c r="H19" s="8"/>
      <c r="I19" s="8"/>
      <c r="J19" s="19"/>
    </row>
    <row r="20" spans="2:12" ht="15.5" x14ac:dyDescent="0.35">
      <c r="B20" s="8"/>
      <c r="C20" s="26"/>
      <c r="D20" s="26"/>
      <c r="E20" s="26"/>
      <c r="F20" s="8"/>
      <c r="G20" s="8"/>
      <c r="H20" s="8"/>
      <c r="I20" s="8"/>
      <c r="J20" s="8"/>
      <c r="L20" s="11"/>
    </row>
    <row r="21" spans="2:12" x14ac:dyDescent="0.3">
      <c r="B21" s="27" t="s">
        <v>14</v>
      </c>
      <c r="C21" s="27"/>
      <c r="D21" s="27"/>
      <c r="E21" s="27"/>
      <c r="F21" s="27"/>
      <c r="G21" s="27"/>
      <c r="H21" s="27"/>
      <c r="I21" s="27"/>
      <c r="J21" s="27"/>
    </row>
    <row r="22" spans="2:12" x14ac:dyDescent="0.3">
      <c r="B22" s="27"/>
      <c r="C22" s="27"/>
      <c r="D22" s="27"/>
      <c r="E22" s="27"/>
      <c r="F22" s="27"/>
      <c r="G22" s="27"/>
      <c r="H22" s="27"/>
      <c r="I22" s="27"/>
      <c r="J22" s="27"/>
    </row>
    <row r="23" spans="2:12" x14ac:dyDescent="0.3">
      <c r="B23" s="27"/>
      <c r="C23" s="27"/>
      <c r="D23" s="27"/>
      <c r="E23" s="27"/>
      <c r="F23" s="27"/>
      <c r="G23" s="27"/>
      <c r="H23" s="27"/>
      <c r="I23" s="27"/>
      <c r="J23" s="27"/>
    </row>
    <row r="26" spans="2:12" ht="14.15" customHeight="1" x14ac:dyDescent="0.3">
      <c r="B26" s="28" t="s">
        <v>15</v>
      </c>
      <c r="C26" s="28"/>
      <c r="D26" s="28"/>
      <c r="E26" s="28"/>
      <c r="F26" s="28"/>
      <c r="G26" s="28"/>
      <c r="H26" s="28"/>
      <c r="I26" s="28"/>
      <c r="J26" s="28"/>
    </row>
    <row r="27" spans="2:12" ht="14.15" customHeight="1" x14ac:dyDescent="0.3">
      <c r="B27" s="28"/>
      <c r="C27" s="28"/>
      <c r="D27" s="28"/>
      <c r="E27" s="28"/>
      <c r="F27" s="28"/>
      <c r="G27" s="28"/>
      <c r="H27" s="28"/>
      <c r="I27" s="28"/>
      <c r="J27" s="28"/>
    </row>
    <row r="28" spans="2:12" x14ac:dyDescent="0.3">
      <c r="B28" s="29" t="s">
        <v>64</v>
      </c>
      <c r="C28" s="29"/>
      <c r="D28" s="29"/>
      <c r="E28" s="29"/>
      <c r="F28" s="29"/>
      <c r="G28" s="29"/>
      <c r="H28" s="29"/>
      <c r="I28" s="29"/>
      <c r="J28" s="29"/>
    </row>
    <row r="29" spans="2:12" x14ac:dyDescent="0.3">
      <c r="B29" s="29"/>
      <c r="C29" s="29"/>
      <c r="D29" s="29"/>
      <c r="E29" s="29"/>
      <c r="F29" s="29"/>
      <c r="G29" s="29"/>
      <c r="H29" s="29"/>
      <c r="I29" s="29"/>
      <c r="J29" s="29"/>
    </row>
    <row r="30" spans="2:12" ht="15.5" x14ac:dyDescent="0.35">
      <c r="B30" s="8"/>
      <c r="C30" s="8"/>
      <c r="D30" s="8"/>
      <c r="E30" s="8"/>
      <c r="F30" s="8"/>
      <c r="G30" s="8"/>
      <c r="H30" s="8"/>
      <c r="I30" s="8"/>
      <c r="J30" s="8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</sheetData>
  <mergeCells count="27">
    <mergeCell ref="C20:E20"/>
    <mergeCell ref="B21:J23"/>
    <mergeCell ref="B26:J27"/>
    <mergeCell ref="B28:J29"/>
    <mergeCell ref="C13:I13"/>
    <mergeCell ref="C14:I14"/>
    <mergeCell ref="C16:J16"/>
    <mergeCell ref="C17:E17"/>
    <mergeCell ref="C18:E18"/>
    <mergeCell ref="C19:E19"/>
    <mergeCell ref="B9:J9"/>
    <mergeCell ref="C10:E10"/>
    <mergeCell ref="C11:E11"/>
    <mergeCell ref="C12:I12"/>
    <mergeCell ref="B6:G6"/>
    <mergeCell ref="I6:J6"/>
    <mergeCell ref="B7:C7"/>
    <mergeCell ref="D7:G7"/>
    <mergeCell ref="I7:J7"/>
    <mergeCell ref="B8:C8"/>
    <mergeCell ref="D8:J8"/>
    <mergeCell ref="B2:J2"/>
    <mergeCell ref="B4:C4"/>
    <mergeCell ref="D4:G4"/>
    <mergeCell ref="H4:I4"/>
    <mergeCell ref="B5:C5"/>
    <mergeCell ref="D5:J5"/>
  </mergeCells>
  <pageMargins left="0.7" right="0.7" top="0.75" bottom="0.75" header="0.3" footer="0.3"/>
  <pageSetup paperSize="9" scale="7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32612-F504-4813-BB03-9D57A58AD47B}">
  <sheetPr>
    <pageSetUpPr fitToPage="1"/>
  </sheetPr>
  <dimension ref="B2:L34"/>
  <sheetViews>
    <sheetView zoomScale="85" zoomScaleNormal="85" workbookViewId="0">
      <selection activeCell="C14" sqref="C14:E14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0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0" ht="15.65" customHeight="1" x14ac:dyDescent="0.35">
      <c r="B4" s="22" t="s">
        <v>16</v>
      </c>
      <c r="C4" s="22"/>
      <c r="D4" s="26" t="s">
        <v>24</v>
      </c>
      <c r="E4" s="26"/>
      <c r="F4" s="26"/>
      <c r="G4" s="26"/>
      <c r="H4" s="36" t="s">
        <v>22</v>
      </c>
      <c r="I4" s="36"/>
      <c r="J4" s="8" t="s">
        <v>66</v>
      </c>
    </row>
    <row r="5" spans="2:10" ht="18.899999999999999" customHeight="1" x14ac:dyDescent="0.3">
      <c r="B5" s="28" t="s">
        <v>1</v>
      </c>
      <c r="C5" s="28"/>
      <c r="D5" s="27" t="s">
        <v>25</v>
      </c>
      <c r="E5" s="27"/>
      <c r="F5" s="27"/>
      <c r="G5" s="27"/>
      <c r="H5" s="27"/>
      <c r="I5" s="27"/>
      <c r="J5" s="27"/>
    </row>
    <row r="6" spans="2:10" ht="30.9" customHeight="1" x14ac:dyDescent="0.35">
      <c r="B6" s="31" t="s">
        <v>31</v>
      </c>
      <c r="C6" s="31"/>
      <c r="D6" s="31"/>
      <c r="E6" s="31"/>
      <c r="F6" s="31"/>
      <c r="G6" s="31"/>
      <c r="H6" s="10" t="s">
        <v>2</v>
      </c>
      <c r="I6" s="32">
        <v>45451</v>
      </c>
      <c r="J6" s="33"/>
    </row>
    <row r="7" spans="2:10" ht="20.149999999999999" customHeight="1" x14ac:dyDescent="0.3">
      <c r="B7" s="34" t="s">
        <v>3</v>
      </c>
      <c r="C7" s="34"/>
      <c r="D7" s="30" t="s">
        <v>57</v>
      </c>
      <c r="E7" s="30"/>
      <c r="F7" s="30"/>
      <c r="G7" s="30"/>
      <c r="H7" s="3" t="s">
        <v>17</v>
      </c>
      <c r="I7" s="32">
        <v>45448</v>
      </c>
      <c r="J7" s="33"/>
    </row>
    <row r="8" spans="2:10" ht="18.899999999999999" customHeight="1" x14ac:dyDescent="0.3">
      <c r="B8" s="28" t="s">
        <v>5</v>
      </c>
      <c r="C8" s="28"/>
      <c r="D8" s="27" t="s">
        <v>57</v>
      </c>
      <c r="E8" s="27"/>
      <c r="F8" s="27"/>
      <c r="G8" s="27"/>
      <c r="H8" s="27"/>
      <c r="I8" s="27"/>
      <c r="J8" s="27"/>
    </row>
    <row r="9" spans="2:10" ht="20.399999999999999" customHeight="1" x14ac:dyDescent="0.3">
      <c r="B9" s="28" t="s">
        <v>4</v>
      </c>
      <c r="C9" s="28"/>
      <c r="D9" s="28"/>
      <c r="E9" s="28"/>
      <c r="F9" s="28"/>
      <c r="G9" s="28"/>
      <c r="H9" s="28"/>
      <c r="I9" s="28"/>
      <c r="J9" s="28"/>
    </row>
    <row r="10" spans="2:10" ht="30" x14ac:dyDescent="0.3">
      <c r="B10" s="2" t="s">
        <v>11</v>
      </c>
      <c r="C10" s="29" t="s">
        <v>6</v>
      </c>
      <c r="D10" s="29"/>
      <c r="E10" s="29"/>
      <c r="F10" s="3" t="s">
        <v>7</v>
      </c>
      <c r="G10" s="15" t="s">
        <v>8</v>
      </c>
      <c r="H10" s="15" t="s">
        <v>9</v>
      </c>
      <c r="I10" s="2" t="s">
        <v>21</v>
      </c>
      <c r="J10" s="13" t="s">
        <v>10</v>
      </c>
    </row>
    <row r="11" spans="2:10" ht="15.5" x14ac:dyDescent="0.3">
      <c r="B11" s="4">
        <v>1</v>
      </c>
      <c r="C11" s="30" t="s">
        <v>67</v>
      </c>
      <c r="D11" s="30"/>
      <c r="E11" s="30"/>
      <c r="F11" s="5">
        <v>1</v>
      </c>
      <c r="G11" s="16">
        <v>6922.77</v>
      </c>
      <c r="H11" s="4" t="s">
        <v>30</v>
      </c>
      <c r="I11" s="17">
        <v>20</v>
      </c>
      <c r="J11" s="6">
        <f>G11*I11</f>
        <v>138455.40000000002</v>
      </c>
    </row>
    <row r="12" spans="2:10" ht="15.5" x14ac:dyDescent="0.3">
      <c r="B12" s="4">
        <v>2</v>
      </c>
      <c r="C12" s="30" t="s">
        <v>68</v>
      </c>
      <c r="D12" s="30"/>
      <c r="E12" s="30"/>
      <c r="F12" s="5">
        <v>1</v>
      </c>
      <c r="G12" s="16">
        <f>160+545.36</f>
        <v>705.36</v>
      </c>
      <c r="H12" s="4" t="s">
        <v>30</v>
      </c>
      <c r="I12" s="17">
        <v>40</v>
      </c>
      <c r="J12" s="6">
        <f>G12*I12</f>
        <v>28214.400000000001</v>
      </c>
    </row>
    <row r="13" spans="2:10" ht="15.5" x14ac:dyDescent="0.3">
      <c r="B13" s="4">
        <v>3</v>
      </c>
      <c r="C13" s="30" t="s">
        <v>69</v>
      </c>
      <c r="D13" s="30"/>
      <c r="E13" s="30"/>
      <c r="F13" s="5">
        <v>1</v>
      </c>
      <c r="G13" s="16">
        <f>160+545.36</f>
        <v>705.36</v>
      </c>
      <c r="H13" s="4" t="s">
        <v>30</v>
      </c>
      <c r="I13" s="17">
        <v>22</v>
      </c>
      <c r="J13" s="6">
        <f>G13*I13</f>
        <v>15517.92</v>
      </c>
    </row>
    <row r="14" spans="2:10" ht="15.5" x14ac:dyDescent="0.3">
      <c r="B14" s="4">
        <v>4</v>
      </c>
      <c r="C14" s="30" t="s">
        <v>70</v>
      </c>
      <c r="D14" s="30"/>
      <c r="E14" s="30"/>
      <c r="F14" s="5">
        <v>1</v>
      </c>
      <c r="G14" s="16">
        <v>468</v>
      </c>
      <c r="H14" s="4" t="s">
        <v>35</v>
      </c>
      <c r="I14" s="17">
        <v>55</v>
      </c>
      <c r="J14" s="6">
        <f>G14*I14</f>
        <v>25740</v>
      </c>
    </row>
    <row r="15" spans="2:10" ht="17.399999999999999" customHeight="1" x14ac:dyDescent="0.35">
      <c r="B15" s="14"/>
      <c r="C15" s="23" t="s">
        <v>18</v>
      </c>
      <c r="D15" s="23"/>
      <c r="E15" s="23"/>
      <c r="F15" s="23"/>
      <c r="G15" s="23"/>
      <c r="H15" s="23"/>
      <c r="I15" s="23"/>
      <c r="J15" s="7">
        <f>SUM(J11:J14)</f>
        <v>207927.72000000003</v>
      </c>
    </row>
    <row r="16" spans="2:10" ht="17.399999999999999" customHeight="1" x14ac:dyDescent="0.35">
      <c r="B16" s="14"/>
      <c r="C16" s="24" t="s">
        <v>23</v>
      </c>
      <c r="D16" s="24"/>
      <c r="E16" s="24"/>
      <c r="F16" s="24"/>
      <c r="G16" s="24"/>
      <c r="H16" s="24"/>
      <c r="I16" s="24"/>
      <c r="J16" s="7">
        <f>J15*18%</f>
        <v>37426.989600000001</v>
      </c>
    </row>
    <row r="17" spans="2:12" ht="17.399999999999999" customHeight="1" x14ac:dyDescent="0.35">
      <c r="B17" s="14"/>
      <c r="C17" s="24"/>
      <c r="D17" s="24"/>
      <c r="E17" s="24"/>
      <c r="F17" s="24"/>
      <c r="G17" s="24"/>
      <c r="H17" s="24"/>
      <c r="I17" s="24"/>
      <c r="J17" s="7"/>
    </row>
    <row r="18" spans="2:12" ht="17.399999999999999" customHeight="1" x14ac:dyDescent="0.35">
      <c r="B18" s="14"/>
      <c r="C18" s="13"/>
      <c r="D18" s="13"/>
      <c r="E18" s="13"/>
      <c r="F18" s="13"/>
      <c r="G18" s="13"/>
      <c r="H18" s="13"/>
      <c r="I18" s="13"/>
      <c r="J18" s="18">
        <f>J15+J16+J17</f>
        <v>245354.70960000003</v>
      </c>
    </row>
    <row r="19" spans="2:12" ht="15.5" x14ac:dyDescent="0.35">
      <c r="B19" s="8"/>
      <c r="C19" s="25" t="s">
        <v>71</v>
      </c>
      <c r="D19" s="25"/>
      <c r="E19" s="25"/>
      <c r="F19" s="25"/>
      <c r="G19" s="25"/>
      <c r="H19" s="25"/>
      <c r="I19" s="25"/>
      <c r="J19" s="25"/>
    </row>
    <row r="20" spans="2:12" ht="15.5" x14ac:dyDescent="0.35">
      <c r="B20" s="14"/>
      <c r="C20" s="26" t="s">
        <v>12</v>
      </c>
      <c r="D20" s="26"/>
      <c r="E20" s="26"/>
      <c r="F20" s="8"/>
      <c r="G20" s="8"/>
      <c r="H20" s="8"/>
      <c r="I20" s="8"/>
      <c r="J20" s="9">
        <v>0</v>
      </c>
    </row>
    <row r="21" spans="2:12" ht="15.5" x14ac:dyDescent="0.35">
      <c r="B21" s="14"/>
      <c r="C21" s="26" t="s">
        <v>20</v>
      </c>
      <c r="D21" s="26"/>
      <c r="E21" s="26"/>
      <c r="F21" s="8"/>
      <c r="G21" s="8"/>
      <c r="H21" s="8"/>
      <c r="I21" s="8"/>
      <c r="J21" s="9"/>
    </row>
    <row r="22" spans="2:12" ht="15.5" x14ac:dyDescent="0.35">
      <c r="B22" s="14"/>
      <c r="C22" s="26" t="s">
        <v>13</v>
      </c>
      <c r="D22" s="26"/>
      <c r="E22" s="26"/>
      <c r="F22" s="8"/>
      <c r="G22" s="8" t="s">
        <v>19</v>
      </c>
      <c r="H22" s="8"/>
      <c r="I22" s="8"/>
      <c r="J22" s="19"/>
    </row>
    <row r="23" spans="2:12" ht="15.5" x14ac:dyDescent="0.35">
      <c r="B23" s="8"/>
      <c r="C23" s="26"/>
      <c r="D23" s="26"/>
      <c r="E23" s="26"/>
      <c r="F23" s="8"/>
      <c r="G23" s="8"/>
      <c r="H23" s="8"/>
      <c r="I23" s="8"/>
      <c r="J23" s="8"/>
      <c r="L23" s="11"/>
    </row>
    <row r="24" spans="2:12" x14ac:dyDescent="0.3">
      <c r="B24" s="27" t="s">
        <v>14</v>
      </c>
      <c r="C24" s="27"/>
      <c r="D24" s="27"/>
      <c r="E24" s="27"/>
      <c r="F24" s="27"/>
      <c r="G24" s="27"/>
      <c r="H24" s="27"/>
      <c r="I24" s="27"/>
      <c r="J24" s="27"/>
    </row>
    <row r="25" spans="2:12" x14ac:dyDescent="0.3">
      <c r="B25" s="27"/>
      <c r="C25" s="27"/>
      <c r="D25" s="27"/>
      <c r="E25" s="27"/>
      <c r="F25" s="27"/>
      <c r="G25" s="27"/>
      <c r="H25" s="27"/>
      <c r="I25" s="27"/>
      <c r="J25" s="27"/>
    </row>
    <row r="26" spans="2:12" x14ac:dyDescent="0.3">
      <c r="B26" s="27"/>
      <c r="C26" s="27"/>
      <c r="D26" s="27"/>
      <c r="E26" s="27"/>
      <c r="F26" s="27"/>
      <c r="G26" s="27"/>
      <c r="H26" s="27"/>
      <c r="I26" s="27"/>
      <c r="J26" s="27"/>
    </row>
    <row r="29" spans="2:12" ht="14.15" customHeight="1" x14ac:dyDescent="0.3">
      <c r="B29" s="28" t="s">
        <v>15</v>
      </c>
      <c r="C29" s="28"/>
      <c r="D29" s="28"/>
      <c r="E29" s="28"/>
      <c r="F29" s="28"/>
      <c r="G29" s="28"/>
      <c r="H29" s="28"/>
      <c r="I29" s="28"/>
      <c r="J29" s="28"/>
    </row>
    <row r="30" spans="2:12" ht="14.15" customHeight="1" x14ac:dyDescent="0.3">
      <c r="B30" s="28"/>
      <c r="C30" s="28"/>
      <c r="D30" s="28"/>
      <c r="E30" s="28"/>
      <c r="F30" s="28"/>
      <c r="G30" s="28"/>
      <c r="H30" s="28"/>
      <c r="I30" s="28"/>
      <c r="J30" s="28"/>
    </row>
    <row r="31" spans="2:12" x14ac:dyDescent="0.3">
      <c r="B31" s="29"/>
      <c r="C31" s="29"/>
      <c r="D31" s="29"/>
      <c r="E31" s="29"/>
      <c r="F31" s="29"/>
      <c r="G31" s="29"/>
      <c r="H31" s="29"/>
      <c r="I31" s="29"/>
      <c r="J31" s="29"/>
    </row>
    <row r="32" spans="2:12" x14ac:dyDescent="0.3">
      <c r="B32" s="29"/>
      <c r="C32" s="29"/>
      <c r="D32" s="29"/>
      <c r="E32" s="29"/>
      <c r="F32" s="29"/>
      <c r="G32" s="29"/>
      <c r="H32" s="29"/>
      <c r="I32" s="29"/>
      <c r="J32" s="29"/>
    </row>
    <row r="33" spans="2:10" ht="15.5" x14ac:dyDescent="0.35">
      <c r="B33" s="8"/>
      <c r="C33" s="8"/>
      <c r="D33" s="8"/>
      <c r="E33" s="8"/>
      <c r="F33" s="8"/>
      <c r="G33" s="8"/>
      <c r="H33" s="8"/>
      <c r="I33" s="8"/>
      <c r="J33" s="8"/>
    </row>
    <row r="34" spans="2:10" ht="15.5" x14ac:dyDescent="0.35">
      <c r="B34" s="8"/>
      <c r="C34" s="8"/>
      <c r="D34" s="8"/>
      <c r="E34" s="8"/>
      <c r="F34" s="8"/>
      <c r="G34" s="8"/>
      <c r="H34" s="8"/>
      <c r="I34" s="8"/>
      <c r="J34" s="8"/>
    </row>
  </sheetData>
  <mergeCells count="30">
    <mergeCell ref="B29:J30"/>
    <mergeCell ref="B31:J32"/>
    <mergeCell ref="C11:E11"/>
    <mergeCell ref="C12:E12"/>
    <mergeCell ref="C13:E13"/>
    <mergeCell ref="C19:J19"/>
    <mergeCell ref="C20:E20"/>
    <mergeCell ref="C21:E21"/>
    <mergeCell ref="C22:E22"/>
    <mergeCell ref="C23:E23"/>
    <mergeCell ref="B24:J26"/>
    <mergeCell ref="C17:I17"/>
    <mergeCell ref="B9:J9"/>
    <mergeCell ref="C10:E10"/>
    <mergeCell ref="C14:E14"/>
    <mergeCell ref="C15:I15"/>
    <mergeCell ref="C16:I16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7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7430D-23B8-4CFE-8922-9EC3B3E3FC62}">
  <sheetPr>
    <pageSetUpPr fitToPage="1"/>
  </sheetPr>
  <dimension ref="B2:L33"/>
  <sheetViews>
    <sheetView zoomScale="85" zoomScaleNormal="85" workbookViewId="0">
      <selection activeCell="B2" sqref="B2:J31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0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0" ht="15.65" customHeight="1" x14ac:dyDescent="0.35">
      <c r="B4" s="22" t="s">
        <v>16</v>
      </c>
      <c r="C4" s="22"/>
      <c r="D4" s="26" t="s">
        <v>24</v>
      </c>
      <c r="E4" s="26"/>
      <c r="F4" s="26"/>
      <c r="G4" s="26"/>
      <c r="H4" s="36" t="s">
        <v>22</v>
      </c>
      <c r="I4" s="36"/>
      <c r="J4" s="8" t="s">
        <v>72</v>
      </c>
    </row>
    <row r="5" spans="2:10" ht="18.899999999999999" customHeight="1" x14ac:dyDescent="0.3">
      <c r="B5" s="28" t="s">
        <v>1</v>
      </c>
      <c r="C5" s="28"/>
      <c r="D5" s="27" t="s">
        <v>25</v>
      </c>
      <c r="E5" s="27"/>
      <c r="F5" s="27"/>
      <c r="G5" s="27"/>
      <c r="H5" s="27"/>
      <c r="I5" s="27"/>
      <c r="J5" s="27"/>
    </row>
    <row r="6" spans="2:10" ht="30.9" customHeight="1" x14ac:dyDescent="0.35">
      <c r="B6" s="31" t="s">
        <v>31</v>
      </c>
      <c r="C6" s="31"/>
      <c r="D6" s="31"/>
      <c r="E6" s="31"/>
      <c r="F6" s="31"/>
      <c r="G6" s="31"/>
      <c r="H6" s="10" t="s">
        <v>2</v>
      </c>
      <c r="I6" s="32">
        <v>45521</v>
      </c>
      <c r="J6" s="33"/>
    </row>
    <row r="7" spans="2:10" ht="20.149999999999999" customHeight="1" x14ac:dyDescent="0.3">
      <c r="B7" s="34" t="s">
        <v>3</v>
      </c>
      <c r="C7" s="34"/>
      <c r="D7" s="30" t="s">
        <v>73</v>
      </c>
      <c r="E7" s="30"/>
      <c r="F7" s="30"/>
      <c r="G7" s="30"/>
      <c r="H7" s="3" t="s">
        <v>17</v>
      </c>
      <c r="I7" s="32">
        <v>45511</v>
      </c>
      <c r="J7" s="33"/>
    </row>
    <row r="8" spans="2:10" ht="18.899999999999999" customHeight="1" x14ac:dyDescent="0.3">
      <c r="B8" s="28" t="s">
        <v>5</v>
      </c>
      <c r="C8" s="28"/>
      <c r="D8" s="27" t="s">
        <v>73</v>
      </c>
      <c r="E8" s="27"/>
      <c r="F8" s="27"/>
      <c r="G8" s="27"/>
      <c r="H8" s="27"/>
      <c r="I8" s="27"/>
      <c r="J8" s="27"/>
    </row>
    <row r="9" spans="2:10" ht="20.399999999999999" customHeight="1" x14ac:dyDescent="0.3">
      <c r="B9" s="28" t="s">
        <v>4</v>
      </c>
      <c r="C9" s="28"/>
      <c r="D9" s="28"/>
      <c r="E9" s="28"/>
      <c r="F9" s="28"/>
      <c r="G9" s="28"/>
      <c r="H9" s="28"/>
      <c r="I9" s="28"/>
      <c r="J9" s="28"/>
    </row>
    <row r="10" spans="2:10" ht="30" x14ac:dyDescent="0.3">
      <c r="B10" s="2" t="s">
        <v>11</v>
      </c>
      <c r="C10" s="29" t="s">
        <v>6</v>
      </c>
      <c r="D10" s="29"/>
      <c r="E10" s="29"/>
      <c r="F10" s="3" t="s">
        <v>7</v>
      </c>
      <c r="G10" s="15" t="s">
        <v>8</v>
      </c>
      <c r="H10" s="15" t="s">
        <v>9</v>
      </c>
      <c r="I10" s="2" t="s">
        <v>21</v>
      </c>
      <c r="J10" s="13" t="s">
        <v>10</v>
      </c>
    </row>
    <row r="11" spans="2:10" ht="15.5" x14ac:dyDescent="0.3">
      <c r="B11" s="4">
        <v>1</v>
      </c>
      <c r="C11" s="30" t="s">
        <v>74</v>
      </c>
      <c r="D11" s="30"/>
      <c r="E11" s="30"/>
      <c r="F11" s="5">
        <v>1</v>
      </c>
      <c r="G11" s="16">
        <v>6431.93</v>
      </c>
      <c r="H11" s="4" t="s">
        <v>30</v>
      </c>
      <c r="I11" s="17">
        <v>20</v>
      </c>
      <c r="J11" s="6">
        <f>G11*I11</f>
        <v>128638.6</v>
      </c>
    </row>
    <row r="12" spans="2:10" ht="15.5" x14ac:dyDescent="0.3">
      <c r="B12" s="4">
        <v>2</v>
      </c>
      <c r="C12" s="30" t="s">
        <v>75</v>
      </c>
      <c r="D12" s="30"/>
      <c r="E12" s="30"/>
      <c r="F12" s="5">
        <v>1</v>
      </c>
      <c r="G12" s="16">
        <v>371.14</v>
      </c>
      <c r="H12" s="4" t="s">
        <v>30</v>
      </c>
      <c r="I12" s="17">
        <v>40</v>
      </c>
      <c r="J12" s="6">
        <f>G12*I12</f>
        <v>14845.599999999999</v>
      </c>
    </row>
    <row r="13" spans="2:10" ht="15.5" x14ac:dyDescent="0.3">
      <c r="B13" s="4">
        <v>3</v>
      </c>
      <c r="C13" s="30" t="s">
        <v>76</v>
      </c>
      <c r="D13" s="30"/>
      <c r="E13" s="30"/>
      <c r="F13" s="5">
        <v>1</v>
      </c>
      <c r="G13" s="16">
        <v>371.14</v>
      </c>
      <c r="H13" s="4" t="s">
        <v>30</v>
      </c>
      <c r="I13" s="17">
        <v>22</v>
      </c>
      <c r="J13" s="6">
        <f>G13*I13</f>
        <v>8165.08</v>
      </c>
    </row>
    <row r="14" spans="2:10" ht="17.399999999999999" customHeight="1" x14ac:dyDescent="0.35">
      <c r="B14" s="14"/>
      <c r="C14" s="23" t="s">
        <v>18</v>
      </c>
      <c r="D14" s="23"/>
      <c r="E14" s="23"/>
      <c r="F14" s="23"/>
      <c r="G14" s="23"/>
      <c r="H14" s="23"/>
      <c r="I14" s="23"/>
      <c r="J14" s="7">
        <f>SUM(J11:J13)</f>
        <v>151649.28</v>
      </c>
    </row>
    <row r="15" spans="2:10" ht="17.399999999999999" customHeight="1" x14ac:dyDescent="0.35">
      <c r="B15" s="14"/>
      <c r="C15" s="24" t="s">
        <v>23</v>
      </c>
      <c r="D15" s="24"/>
      <c r="E15" s="24"/>
      <c r="F15" s="24"/>
      <c r="G15" s="24"/>
      <c r="H15" s="24"/>
      <c r="I15" s="24"/>
      <c r="J15" s="7">
        <f>J14*18%</f>
        <v>27296.8704</v>
      </c>
    </row>
    <row r="16" spans="2:10" ht="17.399999999999999" customHeight="1" x14ac:dyDescent="0.35">
      <c r="B16" s="14"/>
      <c r="C16" s="24"/>
      <c r="D16" s="24"/>
      <c r="E16" s="24"/>
      <c r="F16" s="24"/>
      <c r="G16" s="24"/>
      <c r="H16" s="24"/>
      <c r="I16" s="24"/>
      <c r="J16" s="7"/>
    </row>
    <row r="17" spans="2:12" ht="17.399999999999999" customHeight="1" x14ac:dyDescent="0.35">
      <c r="B17" s="14"/>
      <c r="C17" s="13"/>
      <c r="D17" s="13"/>
      <c r="E17" s="13"/>
      <c r="F17" s="13"/>
      <c r="G17" s="13"/>
      <c r="H17" s="13"/>
      <c r="I17" s="13"/>
      <c r="J17" s="18">
        <f>J14+J15+J16</f>
        <v>178946.15039999998</v>
      </c>
    </row>
    <row r="18" spans="2:12" ht="15.5" x14ac:dyDescent="0.35">
      <c r="B18" s="8"/>
      <c r="C18" s="25" t="s">
        <v>77</v>
      </c>
      <c r="D18" s="25"/>
      <c r="E18" s="25"/>
      <c r="F18" s="25"/>
      <c r="G18" s="25"/>
      <c r="H18" s="25"/>
      <c r="I18" s="25"/>
      <c r="J18" s="25"/>
    </row>
    <row r="19" spans="2:12" ht="15.5" x14ac:dyDescent="0.35">
      <c r="B19" s="14"/>
      <c r="C19" s="26" t="s">
        <v>12</v>
      </c>
      <c r="D19" s="26"/>
      <c r="E19" s="26"/>
      <c r="F19" s="8"/>
      <c r="G19" s="8"/>
      <c r="H19" s="8"/>
      <c r="I19" s="8"/>
      <c r="J19" s="9">
        <v>0</v>
      </c>
    </row>
    <row r="20" spans="2:12" ht="15.5" x14ac:dyDescent="0.35">
      <c r="B20" s="14"/>
      <c r="C20" s="26" t="s">
        <v>20</v>
      </c>
      <c r="D20" s="26"/>
      <c r="E20" s="26"/>
      <c r="F20" s="8"/>
      <c r="G20" s="8"/>
      <c r="H20" s="8"/>
      <c r="I20" s="8"/>
      <c r="J20" s="9"/>
    </row>
    <row r="21" spans="2:12" ht="15.5" x14ac:dyDescent="0.35">
      <c r="B21" s="14"/>
      <c r="C21" s="26" t="s">
        <v>13</v>
      </c>
      <c r="D21" s="26"/>
      <c r="E21" s="26"/>
      <c r="F21" s="8"/>
      <c r="G21" s="8" t="s">
        <v>19</v>
      </c>
      <c r="H21" s="8"/>
      <c r="I21" s="8"/>
      <c r="J21" s="19"/>
    </row>
    <row r="22" spans="2:12" ht="15.5" x14ac:dyDescent="0.35">
      <c r="B22" s="8"/>
      <c r="C22" s="26"/>
      <c r="D22" s="26"/>
      <c r="E22" s="26"/>
      <c r="F22" s="8"/>
      <c r="G22" s="8"/>
      <c r="H22" s="8"/>
      <c r="I22" s="8"/>
      <c r="J22" s="8"/>
      <c r="L22" s="11"/>
    </row>
    <row r="23" spans="2:12" x14ac:dyDescent="0.3">
      <c r="B23" s="27" t="s">
        <v>14</v>
      </c>
      <c r="C23" s="27"/>
      <c r="D23" s="27"/>
      <c r="E23" s="27"/>
      <c r="F23" s="27"/>
      <c r="G23" s="27"/>
      <c r="H23" s="27"/>
      <c r="I23" s="27"/>
      <c r="J23" s="27"/>
    </row>
    <row r="24" spans="2:12" x14ac:dyDescent="0.3">
      <c r="B24" s="27"/>
      <c r="C24" s="27"/>
      <c r="D24" s="27"/>
      <c r="E24" s="27"/>
      <c r="F24" s="27"/>
      <c r="G24" s="27"/>
      <c r="H24" s="27"/>
      <c r="I24" s="27"/>
      <c r="J24" s="27"/>
    </row>
    <row r="25" spans="2:12" x14ac:dyDescent="0.3">
      <c r="B25" s="27"/>
      <c r="C25" s="27"/>
      <c r="D25" s="27"/>
      <c r="E25" s="27"/>
      <c r="F25" s="27"/>
      <c r="G25" s="27"/>
      <c r="H25" s="27"/>
      <c r="I25" s="27"/>
      <c r="J25" s="27"/>
    </row>
    <row r="28" spans="2:12" ht="14.15" customHeight="1" x14ac:dyDescent="0.3">
      <c r="B28" s="28" t="s">
        <v>15</v>
      </c>
      <c r="C28" s="28"/>
      <c r="D28" s="28"/>
      <c r="E28" s="28"/>
      <c r="F28" s="28"/>
      <c r="G28" s="28"/>
      <c r="H28" s="28"/>
      <c r="I28" s="28"/>
      <c r="J28" s="28"/>
    </row>
    <row r="29" spans="2:12" ht="14.15" customHeight="1" x14ac:dyDescent="0.3">
      <c r="B29" s="28"/>
      <c r="C29" s="28"/>
      <c r="D29" s="28"/>
      <c r="E29" s="28"/>
      <c r="F29" s="28"/>
      <c r="G29" s="28"/>
      <c r="H29" s="28"/>
      <c r="I29" s="28"/>
      <c r="J29" s="28"/>
    </row>
    <row r="30" spans="2:12" x14ac:dyDescent="0.3">
      <c r="B30" s="29"/>
      <c r="C30" s="29"/>
      <c r="D30" s="29"/>
      <c r="E30" s="29"/>
      <c r="F30" s="29"/>
      <c r="G30" s="29"/>
      <c r="H30" s="29"/>
      <c r="I30" s="29"/>
      <c r="J30" s="29"/>
    </row>
    <row r="31" spans="2:12" x14ac:dyDescent="0.3">
      <c r="B31" s="29"/>
      <c r="C31" s="29"/>
      <c r="D31" s="29"/>
      <c r="E31" s="29"/>
      <c r="F31" s="29"/>
      <c r="G31" s="29"/>
      <c r="H31" s="29"/>
      <c r="I31" s="29"/>
      <c r="J31" s="29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  <row r="33" spans="2:10" ht="15.5" x14ac:dyDescent="0.35">
      <c r="B33" s="8"/>
      <c r="C33" s="8"/>
      <c r="D33" s="8"/>
      <c r="E33" s="8"/>
      <c r="F33" s="8"/>
      <c r="G33" s="8"/>
      <c r="H33" s="8"/>
      <c r="I33" s="8"/>
      <c r="J33" s="8"/>
    </row>
  </sheetData>
  <mergeCells count="29">
    <mergeCell ref="C21:E21"/>
    <mergeCell ref="C22:E22"/>
    <mergeCell ref="B23:J25"/>
    <mergeCell ref="B28:J29"/>
    <mergeCell ref="B30:J31"/>
    <mergeCell ref="C20:E20"/>
    <mergeCell ref="B9:J9"/>
    <mergeCell ref="C10:E10"/>
    <mergeCell ref="C11:E11"/>
    <mergeCell ref="C12:E12"/>
    <mergeCell ref="C13:E13"/>
    <mergeCell ref="C14:I14"/>
    <mergeCell ref="C15:I15"/>
    <mergeCell ref="C16:I16"/>
    <mergeCell ref="C18:J18"/>
    <mergeCell ref="C19:E19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7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B9CB8-FB53-4E44-B1DB-C7DB71E6DFFE}">
  <sheetPr>
    <pageSetUpPr fitToPage="1"/>
  </sheetPr>
  <dimension ref="B2:L31"/>
  <sheetViews>
    <sheetView topLeftCell="A10" zoomScale="85" zoomScaleNormal="85" workbookViewId="0">
      <selection activeCell="B30" sqref="B30:J30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0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0" ht="15.65" customHeight="1" x14ac:dyDescent="0.35">
      <c r="B4" s="22" t="s">
        <v>16</v>
      </c>
      <c r="C4" s="22"/>
      <c r="D4" s="26" t="s">
        <v>78</v>
      </c>
      <c r="E4" s="26"/>
      <c r="F4" s="26"/>
      <c r="G4" s="26"/>
      <c r="H4" s="36" t="s">
        <v>22</v>
      </c>
      <c r="I4" s="36"/>
      <c r="J4" s="8">
        <v>1</v>
      </c>
    </row>
    <row r="5" spans="2:10" ht="18.899999999999999" customHeight="1" x14ac:dyDescent="0.3">
      <c r="B5" s="28" t="s">
        <v>1</v>
      </c>
      <c r="C5" s="28"/>
      <c r="D5" s="27" t="s">
        <v>25</v>
      </c>
      <c r="E5" s="27"/>
      <c r="F5" s="27"/>
      <c r="G5" s="27"/>
      <c r="H5" s="27"/>
      <c r="I5" s="27"/>
      <c r="J5" s="27"/>
    </row>
    <row r="6" spans="2:10" ht="30.9" customHeight="1" x14ac:dyDescent="0.35">
      <c r="B6" s="31" t="s">
        <v>31</v>
      </c>
      <c r="C6" s="31"/>
      <c r="D6" s="31"/>
      <c r="E6" s="31"/>
      <c r="F6" s="31"/>
      <c r="G6" s="31"/>
      <c r="H6" s="10" t="s">
        <v>2</v>
      </c>
      <c r="I6" s="32">
        <v>45561</v>
      </c>
      <c r="J6" s="33"/>
    </row>
    <row r="7" spans="2:10" ht="20.149999999999999" customHeight="1" x14ac:dyDescent="0.3">
      <c r="B7" s="34" t="s">
        <v>3</v>
      </c>
      <c r="C7" s="34"/>
      <c r="D7" s="30" t="s">
        <v>79</v>
      </c>
      <c r="E7" s="30"/>
      <c r="F7" s="30"/>
      <c r="G7" s="30"/>
      <c r="H7" s="3" t="s">
        <v>17</v>
      </c>
      <c r="I7" s="32">
        <v>45559</v>
      </c>
      <c r="J7" s="33"/>
    </row>
    <row r="8" spans="2:10" ht="18.899999999999999" customHeight="1" x14ac:dyDescent="0.3">
      <c r="B8" s="28" t="s">
        <v>5</v>
      </c>
      <c r="C8" s="28"/>
      <c r="D8" s="27" t="s">
        <v>79</v>
      </c>
      <c r="E8" s="27"/>
      <c r="F8" s="27"/>
      <c r="G8" s="27"/>
      <c r="H8" s="27"/>
      <c r="I8" s="27"/>
      <c r="J8" s="27"/>
    </row>
    <row r="9" spans="2:10" ht="20.399999999999999" customHeight="1" x14ac:dyDescent="0.3">
      <c r="B9" s="28" t="s">
        <v>4</v>
      </c>
      <c r="C9" s="28"/>
      <c r="D9" s="28"/>
      <c r="E9" s="28"/>
      <c r="F9" s="28"/>
      <c r="G9" s="28"/>
      <c r="H9" s="28"/>
      <c r="I9" s="28"/>
      <c r="J9" s="28"/>
    </row>
    <row r="10" spans="2:10" ht="30" x14ac:dyDescent="0.3">
      <c r="B10" s="2" t="s">
        <v>11</v>
      </c>
      <c r="C10" s="29" t="s">
        <v>6</v>
      </c>
      <c r="D10" s="29"/>
      <c r="E10" s="29"/>
      <c r="F10" s="3" t="s">
        <v>7</v>
      </c>
      <c r="G10" s="15" t="s">
        <v>8</v>
      </c>
      <c r="H10" s="15" t="s">
        <v>9</v>
      </c>
      <c r="I10" s="2" t="s">
        <v>21</v>
      </c>
      <c r="J10" s="13" t="s">
        <v>10</v>
      </c>
    </row>
    <row r="11" spans="2:10" ht="35" customHeight="1" x14ac:dyDescent="0.3">
      <c r="B11" s="4">
        <v>1</v>
      </c>
      <c r="C11" s="30" t="s">
        <v>80</v>
      </c>
      <c r="D11" s="30"/>
      <c r="E11" s="30"/>
      <c r="F11" s="5">
        <v>1</v>
      </c>
      <c r="G11" s="16">
        <v>1</v>
      </c>
      <c r="H11" s="4" t="s">
        <v>81</v>
      </c>
      <c r="I11" s="17">
        <v>35000</v>
      </c>
      <c r="J11" s="6">
        <f>G11*I11</f>
        <v>35000</v>
      </c>
    </row>
    <row r="12" spans="2:10" ht="17.399999999999999" customHeight="1" x14ac:dyDescent="0.35">
      <c r="B12" s="14"/>
      <c r="C12" s="23" t="s">
        <v>18</v>
      </c>
      <c r="D12" s="23"/>
      <c r="E12" s="23"/>
      <c r="F12" s="23"/>
      <c r="G12" s="23"/>
      <c r="H12" s="23"/>
      <c r="I12" s="23"/>
      <c r="J12" s="7">
        <f>SUM(J11:J11)</f>
        <v>35000</v>
      </c>
    </row>
    <row r="13" spans="2:10" ht="17.399999999999999" customHeight="1" x14ac:dyDescent="0.35">
      <c r="B13" s="14"/>
      <c r="C13" s="24" t="s">
        <v>23</v>
      </c>
      <c r="D13" s="24"/>
      <c r="E13" s="24"/>
      <c r="F13" s="24"/>
      <c r="G13" s="24"/>
      <c r="H13" s="24"/>
      <c r="I13" s="24"/>
      <c r="J13" s="7">
        <v>0</v>
      </c>
    </row>
    <row r="14" spans="2:10" ht="17.399999999999999" customHeight="1" x14ac:dyDescent="0.35">
      <c r="B14" s="14"/>
      <c r="C14" s="24"/>
      <c r="D14" s="24"/>
      <c r="E14" s="24"/>
      <c r="F14" s="24"/>
      <c r="G14" s="24"/>
      <c r="H14" s="24"/>
      <c r="I14" s="24"/>
      <c r="J14" s="7"/>
    </row>
    <row r="15" spans="2:10" ht="17.399999999999999" customHeight="1" x14ac:dyDescent="0.35">
      <c r="B15" s="14"/>
      <c r="C15" s="13"/>
      <c r="D15" s="13"/>
      <c r="E15" s="13"/>
      <c r="F15" s="13"/>
      <c r="G15" s="13"/>
      <c r="H15" s="13"/>
      <c r="I15" s="13"/>
      <c r="J15" s="18">
        <f>J12+J13+J14</f>
        <v>35000</v>
      </c>
    </row>
    <row r="16" spans="2:10" ht="15.5" x14ac:dyDescent="0.35">
      <c r="B16" s="8"/>
      <c r="C16" s="25" t="s">
        <v>82</v>
      </c>
      <c r="D16" s="25"/>
      <c r="E16" s="25"/>
      <c r="F16" s="25"/>
      <c r="G16" s="25"/>
      <c r="H16" s="25"/>
      <c r="I16" s="25"/>
      <c r="J16" s="25"/>
    </row>
    <row r="17" spans="2:12" ht="15.5" x14ac:dyDescent="0.35">
      <c r="B17" s="14"/>
      <c r="C17" s="26" t="s">
        <v>12</v>
      </c>
      <c r="D17" s="26"/>
      <c r="E17" s="26"/>
      <c r="F17" s="8"/>
      <c r="G17" s="8"/>
      <c r="H17" s="8"/>
      <c r="I17" s="8"/>
      <c r="J17" s="9">
        <v>0</v>
      </c>
    </row>
    <row r="18" spans="2:12" ht="15.5" x14ac:dyDescent="0.35">
      <c r="B18" s="14"/>
      <c r="C18" s="26" t="s">
        <v>20</v>
      </c>
      <c r="D18" s="26"/>
      <c r="E18" s="26"/>
      <c r="F18" s="8"/>
      <c r="G18" s="8"/>
      <c r="H18" s="8"/>
      <c r="I18" s="8"/>
      <c r="J18" s="9"/>
    </row>
    <row r="19" spans="2:12" ht="15.5" x14ac:dyDescent="0.35">
      <c r="B19" s="14"/>
      <c r="C19" s="26" t="s">
        <v>13</v>
      </c>
      <c r="D19" s="26"/>
      <c r="E19" s="26"/>
      <c r="F19" s="8"/>
      <c r="G19" s="8" t="s">
        <v>19</v>
      </c>
      <c r="H19" s="8"/>
      <c r="I19" s="8"/>
      <c r="J19" s="19"/>
    </row>
    <row r="20" spans="2:12" ht="15.5" x14ac:dyDescent="0.35">
      <c r="B20" s="8"/>
      <c r="C20" s="26"/>
      <c r="D20" s="26"/>
      <c r="E20" s="26"/>
      <c r="F20" s="8"/>
      <c r="G20" s="8"/>
      <c r="H20" s="8"/>
      <c r="I20" s="8"/>
      <c r="J20" s="8"/>
      <c r="L20" s="11"/>
    </row>
    <row r="21" spans="2:12" x14ac:dyDescent="0.3">
      <c r="B21" s="27" t="s">
        <v>14</v>
      </c>
      <c r="C21" s="27"/>
      <c r="D21" s="27"/>
      <c r="E21" s="27"/>
      <c r="F21" s="27"/>
      <c r="G21" s="27"/>
      <c r="H21" s="27"/>
      <c r="I21" s="27"/>
      <c r="J21" s="27"/>
    </row>
    <row r="22" spans="2:12" x14ac:dyDescent="0.3">
      <c r="B22" s="27"/>
      <c r="C22" s="27"/>
      <c r="D22" s="27"/>
      <c r="E22" s="27"/>
      <c r="F22" s="27"/>
      <c r="G22" s="27"/>
      <c r="H22" s="27"/>
      <c r="I22" s="27"/>
      <c r="J22" s="27"/>
    </row>
    <row r="23" spans="2:12" x14ac:dyDescent="0.3">
      <c r="B23" s="27"/>
      <c r="C23" s="27"/>
      <c r="D23" s="27"/>
      <c r="E23" s="27"/>
      <c r="F23" s="27"/>
      <c r="G23" s="27"/>
      <c r="H23" s="27"/>
      <c r="I23" s="27"/>
      <c r="J23" s="27"/>
    </row>
    <row r="26" spans="2:12" ht="14.15" customHeight="1" x14ac:dyDescent="0.3">
      <c r="B26" s="28" t="s">
        <v>15</v>
      </c>
      <c r="C26" s="28"/>
      <c r="D26" s="28"/>
      <c r="E26" s="28"/>
      <c r="F26" s="28"/>
      <c r="G26" s="28"/>
      <c r="H26" s="28"/>
      <c r="I26" s="28"/>
      <c r="J26" s="28"/>
    </row>
    <row r="27" spans="2:12" ht="14.15" customHeight="1" x14ac:dyDescent="0.3">
      <c r="B27" s="28"/>
      <c r="C27" s="28"/>
      <c r="D27" s="28"/>
      <c r="E27" s="28"/>
      <c r="F27" s="28"/>
      <c r="G27" s="28"/>
      <c r="H27" s="28"/>
      <c r="I27" s="28"/>
      <c r="J27" s="28"/>
    </row>
    <row r="28" spans="2:12" x14ac:dyDescent="0.3">
      <c r="B28" s="29"/>
      <c r="C28" s="29"/>
      <c r="D28" s="29"/>
      <c r="E28" s="29"/>
      <c r="F28" s="29"/>
      <c r="G28" s="29"/>
      <c r="H28" s="29"/>
      <c r="I28" s="29"/>
      <c r="J28" s="29"/>
    </row>
    <row r="29" spans="2:12" x14ac:dyDescent="0.3">
      <c r="B29" s="29"/>
      <c r="C29" s="29"/>
      <c r="D29" s="29"/>
      <c r="E29" s="29"/>
      <c r="F29" s="29"/>
      <c r="G29" s="29"/>
      <c r="H29" s="29"/>
      <c r="I29" s="29"/>
      <c r="J29" s="29"/>
    </row>
    <row r="30" spans="2:12" ht="15" x14ac:dyDescent="0.3">
      <c r="B30" s="22" t="s">
        <v>83</v>
      </c>
      <c r="C30" s="22"/>
      <c r="D30" s="22"/>
      <c r="E30" s="22"/>
      <c r="F30" s="22"/>
      <c r="G30" s="22"/>
      <c r="H30" s="22"/>
      <c r="I30" s="22"/>
      <c r="J30" s="22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</sheetData>
  <mergeCells count="28">
    <mergeCell ref="C20:E20"/>
    <mergeCell ref="B21:J23"/>
    <mergeCell ref="B26:J27"/>
    <mergeCell ref="B28:J29"/>
    <mergeCell ref="B30:J30"/>
    <mergeCell ref="C19:E19"/>
    <mergeCell ref="B9:J9"/>
    <mergeCell ref="C10:E10"/>
    <mergeCell ref="C11:E11"/>
    <mergeCell ref="C12:I12"/>
    <mergeCell ref="C13:I13"/>
    <mergeCell ref="C14:I14"/>
    <mergeCell ref="C16:J16"/>
    <mergeCell ref="C17:E17"/>
    <mergeCell ref="C18:E18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7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878E2-0001-4E68-B127-0F6BFFD7C5E6}">
  <sheetPr>
    <pageSetUpPr fitToPage="1"/>
  </sheetPr>
  <dimension ref="B2:L30"/>
  <sheetViews>
    <sheetView topLeftCell="A7" zoomScale="85" zoomScaleNormal="85" workbookViewId="0">
      <selection activeCell="C12" sqref="C12:E12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0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0" ht="15.65" customHeight="1" x14ac:dyDescent="0.35">
      <c r="B4" s="22" t="s">
        <v>16</v>
      </c>
      <c r="C4" s="22"/>
      <c r="D4" s="26" t="s">
        <v>24</v>
      </c>
      <c r="E4" s="26"/>
      <c r="F4" s="26"/>
      <c r="G4" s="26"/>
      <c r="H4" s="36" t="s">
        <v>22</v>
      </c>
      <c r="I4" s="36"/>
      <c r="J4" s="8" t="s">
        <v>84</v>
      </c>
    </row>
    <row r="5" spans="2:10" ht="18.899999999999999" customHeight="1" x14ac:dyDescent="0.3">
      <c r="B5" s="28" t="s">
        <v>1</v>
      </c>
      <c r="C5" s="28"/>
      <c r="D5" s="27" t="s">
        <v>25</v>
      </c>
      <c r="E5" s="27"/>
      <c r="F5" s="27"/>
      <c r="G5" s="27"/>
      <c r="H5" s="27"/>
      <c r="I5" s="27"/>
      <c r="J5" s="27"/>
    </row>
    <row r="6" spans="2:10" ht="30.9" customHeight="1" x14ac:dyDescent="0.35">
      <c r="B6" s="31" t="s">
        <v>31</v>
      </c>
      <c r="C6" s="31"/>
      <c r="D6" s="31"/>
      <c r="E6" s="31"/>
      <c r="F6" s="31"/>
      <c r="G6" s="31"/>
      <c r="H6" s="10" t="s">
        <v>2</v>
      </c>
      <c r="I6" s="32">
        <v>45561</v>
      </c>
      <c r="J6" s="33"/>
    </row>
    <row r="7" spans="2:10" ht="20.149999999999999" customHeight="1" x14ac:dyDescent="0.3">
      <c r="B7" s="34" t="s">
        <v>3</v>
      </c>
      <c r="C7" s="34"/>
      <c r="D7" s="30" t="s">
        <v>89</v>
      </c>
      <c r="E7" s="30"/>
      <c r="F7" s="30"/>
      <c r="G7" s="30"/>
      <c r="H7" s="3" t="s">
        <v>17</v>
      </c>
      <c r="I7" s="32">
        <v>45559</v>
      </c>
      <c r="J7" s="33"/>
    </row>
    <row r="8" spans="2:10" ht="18.899999999999999" customHeight="1" x14ac:dyDescent="0.3">
      <c r="B8" s="28" t="s">
        <v>5</v>
      </c>
      <c r="C8" s="28"/>
      <c r="D8" s="27" t="s">
        <v>89</v>
      </c>
      <c r="E8" s="27"/>
      <c r="F8" s="27"/>
      <c r="G8" s="27"/>
      <c r="H8" s="27"/>
      <c r="I8" s="27"/>
      <c r="J8" s="27"/>
    </row>
    <row r="9" spans="2:10" ht="20.399999999999999" customHeight="1" x14ac:dyDescent="0.3">
      <c r="B9" s="28" t="s">
        <v>4</v>
      </c>
      <c r="C9" s="28"/>
      <c r="D9" s="28"/>
      <c r="E9" s="28"/>
      <c r="F9" s="28"/>
      <c r="G9" s="28"/>
      <c r="H9" s="28"/>
      <c r="I9" s="28"/>
      <c r="J9" s="28"/>
    </row>
    <row r="10" spans="2:10" ht="30" x14ac:dyDescent="0.3">
      <c r="B10" s="2" t="s">
        <v>11</v>
      </c>
      <c r="C10" s="29" t="s">
        <v>6</v>
      </c>
      <c r="D10" s="29"/>
      <c r="E10" s="29"/>
      <c r="F10" s="3" t="s">
        <v>7</v>
      </c>
      <c r="G10" s="15" t="s">
        <v>8</v>
      </c>
      <c r="H10" s="15" t="s">
        <v>9</v>
      </c>
      <c r="I10" s="2" t="s">
        <v>21</v>
      </c>
      <c r="J10" s="13" t="s">
        <v>10</v>
      </c>
    </row>
    <row r="11" spans="2:10" ht="35" customHeight="1" x14ac:dyDescent="0.3">
      <c r="B11" s="4">
        <v>1</v>
      </c>
      <c r="C11" s="30" t="s">
        <v>85</v>
      </c>
      <c r="D11" s="30"/>
      <c r="E11" s="30"/>
      <c r="F11" s="5">
        <v>1</v>
      </c>
      <c r="G11" s="16">
        <v>7250.86</v>
      </c>
      <c r="H11" s="4" t="s">
        <v>30</v>
      </c>
      <c r="I11" s="17">
        <v>70</v>
      </c>
      <c r="J11" s="6">
        <f>G11*I11</f>
        <v>507560.19999999995</v>
      </c>
    </row>
    <row r="12" spans="2:10" ht="17.399999999999999" customHeight="1" x14ac:dyDescent="0.3">
      <c r="B12" s="4">
        <v>2</v>
      </c>
      <c r="C12" s="30" t="s">
        <v>86</v>
      </c>
      <c r="D12" s="30"/>
      <c r="E12" s="30"/>
      <c r="F12" s="5">
        <v>1</v>
      </c>
      <c r="G12" s="16">
        <v>502.5</v>
      </c>
      <c r="H12" s="4" t="s">
        <v>30</v>
      </c>
      <c r="I12" s="17">
        <v>40</v>
      </c>
      <c r="J12" s="6">
        <f>G12*I12</f>
        <v>20100</v>
      </c>
    </row>
    <row r="13" spans="2:10" ht="17.399999999999999" customHeight="1" x14ac:dyDescent="0.35">
      <c r="B13" s="14"/>
      <c r="C13" s="23" t="s">
        <v>18</v>
      </c>
      <c r="D13" s="23"/>
      <c r="E13" s="23"/>
      <c r="F13" s="23"/>
      <c r="G13" s="23"/>
      <c r="H13" s="23"/>
      <c r="I13" s="23"/>
      <c r="J13" s="7">
        <f>SUM(J11:J12)</f>
        <v>527660.19999999995</v>
      </c>
    </row>
    <row r="14" spans="2:10" ht="17.399999999999999" customHeight="1" x14ac:dyDescent="0.35">
      <c r="B14" s="14"/>
      <c r="C14" s="24" t="s">
        <v>23</v>
      </c>
      <c r="D14" s="24"/>
      <c r="E14" s="24"/>
      <c r="F14" s="24"/>
      <c r="G14" s="24"/>
      <c r="H14" s="24"/>
      <c r="I14" s="24"/>
      <c r="J14" s="7">
        <f>J13*18%</f>
        <v>94978.835999999981</v>
      </c>
    </row>
    <row r="15" spans="2:10" ht="15.5" x14ac:dyDescent="0.35">
      <c r="B15" s="14"/>
      <c r="C15" s="24"/>
      <c r="D15" s="24"/>
      <c r="E15" s="24"/>
      <c r="F15" s="24"/>
      <c r="G15" s="24"/>
      <c r="H15" s="24"/>
      <c r="I15" s="24"/>
      <c r="J15" s="7"/>
    </row>
    <row r="16" spans="2:10" ht="15.5" x14ac:dyDescent="0.35">
      <c r="B16" s="14"/>
      <c r="C16" s="13"/>
      <c r="D16" s="13"/>
      <c r="E16" s="13"/>
      <c r="F16" s="13"/>
      <c r="G16" s="13"/>
      <c r="H16" s="13"/>
      <c r="I16" s="13"/>
      <c r="J16" s="18">
        <f>J13+J14+J15</f>
        <v>622639.03599999996</v>
      </c>
    </row>
    <row r="17" spans="2:12" ht="14" customHeight="1" x14ac:dyDescent="0.35">
      <c r="B17" s="8"/>
      <c r="C17" s="25" t="s">
        <v>87</v>
      </c>
      <c r="D17" s="25"/>
      <c r="E17" s="25"/>
      <c r="F17" s="25"/>
      <c r="G17" s="25"/>
      <c r="H17" s="25"/>
      <c r="I17" s="25"/>
      <c r="J17" s="25"/>
    </row>
    <row r="18" spans="2:12" ht="15.5" x14ac:dyDescent="0.35">
      <c r="B18" s="14"/>
      <c r="C18" s="26" t="s">
        <v>12</v>
      </c>
      <c r="D18" s="26"/>
      <c r="E18" s="26"/>
      <c r="F18" s="8"/>
      <c r="G18" s="8"/>
      <c r="H18" s="8"/>
      <c r="I18" s="8"/>
      <c r="J18" s="9">
        <v>0</v>
      </c>
    </row>
    <row r="19" spans="2:12" ht="15.5" x14ac:dyDescent="0.35">
      <c r="B19" s="14"/>
      <c r="C19" s="26" t="s">
        <v>20</v>
      </c>
      <c r="D19" s="26"/>
      <c r="E19" s="26"/>
      <c r="F19" s="8"/>
      <c r="G19" s="8"/>
      <c r="H19" s="8"/>
      <c r="I19" s="8"/>
      <c r="J19" s="9"/>
      <c r="L19" s="11"/>
    </row>
    <row r="20" spans="2:12" ht="14" customHeight="1" x14ac:dyDescent="0.35">
      <c r="B20" s="14"/>
      <c r="C20" s="26" t="s">
        <v>13</v>
      </c>
      <c r="D20" s="26"/>
      <c r="E20" s="26"/>
      <c r="F20" s="8"/>
      <c r="G20" s="8" t="s">
        <v>19</v>
      </c>
      <c r="H20" s="8"/>
      <c r="I20" s="8"/>
      <c r="J20" s="19"/>
    </row>
    <row r="21" spans="2:12" ht="14" customHeight="1" x14ac:dyDescent="0.35">
      <c r="B21" s="8"/>
      <c r="C21" s="26"/>
      <c r="D21" s="26"/>
      <c r="E21" s="26"/>
      <c r="F21" s="8"/>
      <c r="G21" s="8"/>
      <c r="H21" s="8"/>
      <c r="I21" s="8"/>
      <c r="J21" s="8"/>
    </row>
    <row r="22" spans="2:12" ht="14" customHeight="1" x14ac:dyDescent="0.3">
      <c r="B22" s="27" t="s">
        <v>14</v>
      </c>
      <c r="C22" s="27"/>
      <c r="D22" s="27"/>
      <c r="E22" s="27"/>
      <c r="F22" s="27"/>
      <c r="G22" s="27"/>
      <c r="H22" s="27"/>
      <c r="I22" s="27"/>
      <c r="J22" s="27"/>
    </row>
    <row r="23" spans="2:12" x14ac:dyDescent="0.3">
      <c r="B23" s="27"/>
      <c r="C23" s="27"/>
      <c r="D23" s="27"/>
      <c r="E23" s="27"/>
      <c r="F23" s="27"/>
      <c r="G23" s="27"/>
      <c r="H23" s="27"/>
      <c r="I23" s="27"/>
      <c r="J23" s="27"/>
    </row>
    <row r="24" spans="2:12" x14ac:dyDescent="0.3">
      <c r="B24" s="27"/>
      <c r="C24" s="27"/>
      <c r="D24" s="27"/>
      <c r="E24" s="27"/>
      <c r="F24" s="27"/>
      <c r="G24" s="27"/>
      <c r="H24" s="27"/>
      <c r="I24" s="27"/>
      <c r="J24" s="27"/>
    </row>
    <row r="25" spans="2:12" ht="14.15" customHeight="1" x14ac:dyDescent="0.3"/>
    <row r="26" spans="2:12" ht="14.15" customHeight="1" x14ac:dyDescent="0.3"/>
    <row r="27" spans="2:12" ht="14" customHeight="1" x14ac:dyDescent="0.3">
      <c r="B27" s="28" t="s">
        <v>15</v>
      </c>
      <c r="C27" s="28"/>
      <c r="D27" s="28"/>
      <c r="E27" s="28"/>
      <c r="F27" s="28"/>
      <c r="G27" s="28"/>
      <c r="H27" s="28"/>
      <c r="I27" s="28"/>
      <c r="J27" s="28"/>
    </row>
    <row r="28" spans="2:12" ht="14" customHeight="1" x14ac:dyDescent="0.3">
      <c r="B28" s="28"/>
      <c r="C28" s="28"/>
      <c r="D28" s="28"/>
      <c r="E28" s="28"/>
      <c r="F28" s="28"/>
      <c r="G28" s="28"/>
      <c r="H28" s="28"/>
      <c r="I28" s="28"/>
      <c r="J28" s="28"/>
    </row>
    <row r="29" spans="2:12" x14ac:dyDescent="0.3">
      <c r="B29" s="29"/>
      <c r="C29" s="29"/>
      <c r="D29" s="29"/>
      <c r="E29" s="29"/>
      <c r="F29" s="29"/>
      <c r="G29" s="29"/>
      <c r="H29" s="29"/>
      <c r="I29" s="29"/>
      <c r="J29" s="29"/>
    </row>
    <row r="30" spans="2:12" x14ac:dyDescent="0.3">
      <c r="B30" s="29"/>
      <c r="C30" s="29"/>
      <c r="D30" s="29"/>
      <c r="E30" s="29"/>
      <c r="F30" s="29"/>
      <c r="G30" s="29"/>
      <c r="H30" s="29"/>
      <c r="I30" s="29"/>
      <c r="J30" s="29"/>
    </row>
  </sheetData>
  <mergeCells count="28">
    <mergeCell ref="B29:J30"/>
    <mergeCell ref="B27:J28"/>
    <mergeCell ref="C12:E12"/>
    <mergeCell ref="C14:I14"/>
    <mergeCell ref="C15:I15"/>
    <mergeCell ref="C17:J17"/>
    <mergeCell ref="C20:E20"/>
    <mergeCell ref="C21:E21"/>
    <mergeCell ref="C18:E18"/>
    <mergeCell ref="C19:E19"/>
    <mergeCell ref="B22:J24"/>
    <mergeCell ref="B9:J9"/>
    <mergeCell ref="C10:E10"/>
    <mergeCell ref="C11:E11"/>
    <mergeCell ref="C13:I13"/>
    <mergeCell ref="B6:G6"/>
    <mergeCell ref="I6:J6"/>
    <mergeCell ref="B7:C7"/>
    <mergeCell ref="D7:G7"/>
    <mergeCell ref="I7:J7"/>
    <mergeCell ref="B8:C8"/>
    <mergeCell ref="D8:J8"/>
    <mergeCell ref="B2:J2"/>
    <mergeCell ref="B4:C4"/>
    <mergeCell ref="D4:G4"/>
    <mergeCell ref="H4:I4"/>
    <mergeCell ref="B5:C5"/>
    <mergeCell ref="D5:J5"/>
  </mergeCells>
  <pageMargins left="0.7" right="0.7" top="0.75" bottom="0.75" header="0.3" footer="0.3"/>
  <pageSetup paperSize="9" scale="7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EA9D2-8877-4F7A-90A8-C724C36E6A3E}">
  <sheetPr>
    <pageSetUpPr fitToPage="1"/>
  </sheetPr>
  <dimension ref="B2:O30"/>
  <sheetViews>
    <sheetView topLeftCell="A8" zoomScale="85" zoomScaleNormal="85" workbookViewId="0">
      <selection activeCell="O11" sqref="O11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4" width="8.6328125" style="1"/>
    <col min="15" max="15" width="12.36328125" style="1" bestFit="1" customWidth="1"/>
    <col min="16" max="16384" width="8.6328125" style="1"/>
  </cols>
  <sheetData>
    <row r="2" spans="2:15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5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5" ht="15.65" customHeight="1" x14ac:dyDescent="0.35">
      <c r="B4" s="22" t="s">
        <v>16</v>
      </c>
      <c r="C4" s="22"/>
      <c r="D4" s="26" t="s">
        <v>24</v>
      </c>
      <c r="E4" s="26"/>
      <c r="F4" s="26"/>
      <c r="G4" s="26"/>
      <c r="H4" s="36" t="s">
        <v>22</v>
      </c>
      <c r="I4" s="36"/>
      <c r="J4" s="8" t="s">
        <v>88</v>
      </c>
    </row>
    <row r="5" spans="2:15" ht="18.899999999999999" customHeight="1" x14ac:dyDescent="0.3">
      <c r="B5" s="28" t="s">
        <v>1</v>
      </c>
      <c r="C5" s="28"/>
      <c r="D5" s="27" t="s">
        <v>25</v>
      </c>
      <c r="E5" s="27"/>
      <c r="F5" s="27"/>
      <c r="G5" s="27"/>
      <c r="H5" s="27"/>
      <c r="I5" s="27"/>
      <c r="J5" s="27"/>
    </row>
    <row r="6" spans="2:15" ht="30.9" customHeight="1" x14ac:dyDescent="0.35">
      <c r="B6" s="31" t="s">
        <v>31</v>
      </c>
      <c r="C6" s="31"/>
      <c r="D6" s="31"/>
      <c r="E6" s="31"/>
      <c r="F6" s="31"/>
      <c r="G6" s="31"/>
      <c r="H6" s="10" t="s">
        <v>2</v>
      </c>
      <c r="I6" s="32">
        <v>45561</v>
      </c>
      <c r="J6" s="33"/>
    </row>
    <row r="7" spans="2:15" ht="20.149999999999999" customHeight="1" x14ac:dyDescent="0.3">
      <c r="B7" s="34" t="s">
        <v>3</v>
      </c>
      <c r="C7" s="34"/>
      <c r="D7" s="30" t="s">
        <v>90</v>
      </c>
      <c r="E7" s="30"/>
      <c r="F7" s="30"/>
      <c r="G7" s="30"/>
      <c r="H7" s="3" t="s">
        <v>17</v>
      </c>
      <c r="I7" s="32">
        <v>45560</v>
      </c>
      <c r="J7" s="33"/>
    </row>
    <row r="8" spans="2:15" ht="18.899999999999999" customHeight="1" x14ac:dyDescent="0.3">
      <c r="B8" s="28" t="s">
        <v>5</v>
      </c>
      <c r="C8" s="28"/>
      <c r="D8" s="27" t="s">
        <v>90</v>
      </c>
      <c r="E8" s="27"/>
      <c r="F8" s="27"/>
      <c r="G8" s="27"/>
      <c r="H8" s="27"/>
      <c r="I8" s="27"/>
      <c r="J8" s="27"/>
    </row>
    <row r="9" spans="2:15" ht="20.399999999999999" customHeight="1" x14ac:dyDescent="0.3">
      <c r="B9" s="28" t="s">
        <v>4</v>
      </c>
      <c r="C9" s="28"/>
      <c r="D9" s="28"/>
      <c r="E9" s="28"/>
      <c r="F9" s="28"/>
      <c r="G9" s="28"/>
      <c r="H9" s="28"/>
      <c r="I9" s="28"/>
      <c r="J9" s="28"/>
    </row>
    <row r="10" spans="2:15" ht="30" x14ac:dyDescent="0.3">
      <c r="B10" s="2" t="s">
        <v>11</v>
      </c>
      <c r="C10" s="29" t="s">
        <v>6</v>
      </c>
      <c r="D10" s="29"/>
      <c r="E10" s="29"/>
      <c r="F10" s="3" t="s">
        <v>7</v>
      </c>
      <c r="G10" s="15" t="s">
        <v>8</v>
      </c>
      <c r="H10" s="15" t="s">
        <v>9</v>
      </c>
      <c r="I10" s="2" t="s">
        <v>21</v>
      </c>
      <c r="J10" s="13" t="s">
        <v>10</v>
      </c>
    </row>
    <row r="11" spans="2:15" ht="46" customHeight="1" x14ac:dyDescent="0.3">
      <c r="B11" s="4">
        <v>1</v>
      </c>
      <c r="C11" s="30" t="s">
        <v>91</v>
      </c>
      <c r="D11" s="30"/>
      <c r="E11" s="30"/>
      <c r="F11" s="5">
        <v>1</v>
      </c>
      <c r="G11" s="16">
        <v>13316</v>
      </c>
      <c r="H11" s="4" t="s">
        <v>30</v>
      </c>
      <c r="I11" s="17">
        <v>35</v>
      </c>
      <c r="J11" s="6">
        <f>G11*I11</f>
        <v>466060</v>
      </c>
      <c r="O11" s="21">
        <f>J11+'15'!J11+'17'!J11</f>
        <v>1392941.9</v>
      </c>
    </row>
    <row r="12" spans="2:15" ht="17.399999999999999" customHeight="1" x14ac:dyDescent="0.35">
      <c r="B12" s="14"/>
      <c r="C12" s="23" t="s">
        <v>18</v>
      </c>
      <c r="D12" s="23"/>
      <c r="E12" s="23"/>
      <c r="F12" s="23"/>
      <c r="G12" s="23"/>
      <c r="H12" s="23"/>
      <c r="I12" s="23"/>
      <c r="J12" s="7">
        <f>SUM(J11:J11)</f>
        <v>466060</v>
      </c>
    </row>
    <row r="13" spans="2:15" ht="17.399999999999999" customHeight="1" x14ac:dyDescent="0.35">
      <c r="B13" s="14"/>
      <c r="C13" s="24" t="s">
        <v>23</v>
      </c>
      <c r="D13" s="24"/>
      <c r="E13" s="24"/>
      <c r="F13" s="24"/>
      <c r="G13" s="24"/>
      <c r="H13" s="24"/>
      <c r="I13" s="24"/>
      <c r="J13" s="7">
        <f>J12*18%</f>
        <v>83890.8</v>
      </c>
    </row>
    <row r="14" spans="2:15" ht="15.5" x14ac:dyDescent="0.35">
      <c r="B14" s="14"/>
      <c r="C14" s="24"/>
      <c r="D14" s="24"/>
      <c r="E14" s="24"/>
      <c r="F14" s="24"/>
      <c r="G14" s="24"/>
      <c r="H14" s="24"/>
      <c r="I14" s="24"/>
      <c r="J14" s="7"/>
    </row>
    <row r="15" spans="2:15" ht="15.5" x14ac:dyDescent="0.35">
      <c r="B15" s="14"/>
      <c r="C15" s="13"/>
      <c r="D15" s="13"/>
      <c r="E15" s="13"/>
      <c r="F15" s="13"/>
      <c r="G15" s="13"/>
      <c r="H15" s="13"/>
      <c r="I15" s="13"/>
      <c r="J15" s="18">
        <f>J12+J13+J14</f>
        <v>549950.80000000005</v>
      </c>
    </row>
    <row r="16" spans="2:15" ht="14" customHeight="1" x14ac:dyDescent="0.35">
      <c r="B16" s="8"/>
      <c r="C16" s="25" t="s">
        <v>92</v>
      </c>
      <c r="D16" s="25"/>
      <c r="E16" s="25"/>
      <c r="F16" s="25"/>
      <c r="G16" s="25"/>
      <c r="H16" s="25"/>
      <c r="I16" s="25"/>
      <c r="J16" s="25"/>
    </row>
    <row r="17" spans="2:12" ht="15.5" x14ac:dyDescent="0.35">
      <c r="B17" s="14"/>
      <c r="C17" s="26" t="s">
        <v>12</v>
      </c>
      <c r="D17" s="26"/>
      <c r="E17" s="26"/>
      <c r="F17" s="8"/>
      <c r="G17" s="8"/>
      <c r="H17" s="8"/>
      <c r="I17" s="8"/>
      <c r="J17" s="9">
        <v>0</v>
      </c>
    </row>
    <row r="18" spans="2:12" ht="15.5" x14ac:dyDescent="0.35">
      <c r="B18" s="14"/>
      <c r="C18" s="26" t="s">
        <v>20</v>
      </c>
      <c r="D18" s="26"/>
      <c r="E18" s="26"/>
      <c r="F18" s="8"/>
      <c r="G18" s="8"/>
      <c r="H18" s="8"/>
      <c r="I18" s="8"/>
      <c r="J18" s="9"/>
      <c r="L18" s="11"/>
    </row>
    <row r="19" spans="2:12" ht="14" customHeight="1" x14ac:dyDescent="0.35">
      <c r="B19" s="14"/>
      <c r="C19" s="26" t="s">
        <v>13</v>
      </c>
      <c r="D19" s="26"/>
      <c r="E19" s="26"/>
      <c r="F19" s="8"/>
      <c r="G19" s="8" t="s">
        <v>19</v>
      </c>
      <c r="H19" s="8"/>
      <c r="I19" s="8"/>
      <c r="J19" s="19"/>
    </row>
    <row r="20" spans="2:12" ht="14" customHeight="1" x14ac:dyDescent="0.35">
      <c r="B20" s="8"/>
      <c r="C20" s="26"/>
      <c r="D20" s="26"/>
      <c r="E20" s="26"/>
      <c r="F20" s="8"/>
      <c r="G20" s="8"/>
      <c r="H20" s="8"/>
      <c r="I20" s="8"/>
      <c r="J20" s="8"/>
    </row>
    <row r="21" spans="2:12" ht="14" customHeight="1" x14ac:dyDescent="0.3">
      <c r="B21" s="27" t="s">
        <v>14</v>
      </c>
      <c r="C21" s="27"/>
      <c r="D21" s="27"/>
      <c r="E21" s="27"/>
      <c r="F21" s="27"/>
      <c r="G21" s="27"/>
      <c r="H21" s="27"/>
      <c r="I21" s="27"/>
      <c r="J21" s="27"/>
    </row>
    <row r="22" spans="2:12" x14ac:dyDescent="0.3">
      <c r="B22" s="27"/>
      <c r="C22" s="27"/>
      <c r="D22" s="27"/>
      <c r="E22" s="27"/>
      <c r="F22" s="27"/>
      <c r="G22" s="27"/>
      <c r="H22" s="27"/>
      <c r="I22" s="27"/>
      <c r="J22" s="27"/>
    </row>
    <row r="23" spans="2:12" x14ac:dyDescent="0.3">
      <c r="B23" s="27"/>
      <c r="C23" s="27"/>
      <c r="D23" s="27"/>
      <c r="E23" s="27"/>
      <c r="F23" s="27"/>
      <c r="G23" s="27"/>
      <c r="H23" s="27"/>
      <c r="I23" s="27"/>
      <c r="J23" s="27"/>
    </row>
    <row r="24" spans="2:12" ht="14.15" customHeight="1" x14ac:dyDescent="0.3"/>
    <row r="25" spans="2:12" ht="14.15" customHeight="1" x14ac:dyDescent="0.3"/>
    <row r="26" spans="2:12" ht="14" customHeight="1" x14ac:dyDescent="0.3">
      <c r="B26" s="28" t="s">
        <v>15</v>
      </c>
      <c r="C26" s="28"/>
      <c r="D26" s="28"/>
      <c r="E26" s="28"/>
      <c r="F26" s="28"/>
      <c r="G26" s="28"/>
      <c r="H26" s="28"/>
      <c r="I26" s="28"/>
      <c r="J26" s="28"/>
    </row>
    <row r="27" spans="2:12" ht="14" customHeight="1" x14ac:dyDescent="0.3">
      <c r="B27" s="28"/>
      <c r="C27" s="28"/>
      <c r="D27" s="28"/>
      <c r="E27" s="28"/>
      <c r="F27" s="28"/>
      <c r="G27" s="28"/>
      <c r="H27" s="28"/>
      <c r="I27" s="28"/>
      <c r="J27" s="28"/>
    </row>
    <row r="28" spans="2:12" x14ac:dyDescent="0.3">
      <c r="B28" s="29"/>
      <c r="C28" s="29"/>
      <c r="D28" s="29"/>
      <c r="E28" s="29"/>
      <c r="F28" s="29"/>
      <c r="G28" s="29"/>
      <c r="H28" s="29"/>
      <c r="I28" s="29"/>
      <c r="J28" s="29"/>
    </row>
    <row r="29" spans="2:12" x14ac:dyDescent="0.3">
      <c r="B29" s="29"/>
      <c r="C29" s="29"/>
      <c r="D29" s="29"/>
      <c r="E29" s="29"/>
      <c r="F29" s="29"/>
      <c r="G29" s="29"/>
      <c r="H29" s="29"/>
      <c r="I29" s="29"/>
      <c r="J29" s="29"/>
    </row>
    <row r="30" spans="2:12" ht="15" x14ac:dyDescent="0.3">
      <c r="B30" s="22" t="s">
        <v>83</v>
      </c>
      <c r="C30" s="22"/>
      <c r="D30" s="22"/>
      <c r="E30" s="22"/>
      <c r="F30" s="22"/>
      <c r="G30" s="22"/>
      <c r="H30" s="22"/>
      <c r="I30" s="22"/>
      <c r="J30" s="22"/>
    </row>
  </sheetData>
  <mergeCells count="28">
    <mergeCell ref="B21:J23"/>
    <mergeCell ref="B26:J27"/>
    <mergeCell ref="B28:J29"/>
    <mergeCell ref="B30:J30"/>
    <mergeCell ref="C14:I14"/>
    <mergeCell ref="C16:J16"/>
    <mergeCell ref="C17:E17"/>
    <mergeCell ref="C18:E18"/>
    <mergeCell ref="C19:E19"/>
    <mergeCell ref="C20:E20"/>
    <mergeCell ref="B9:J9"/>
    <mergeCell ref="C10:E10"/>
    <mergeCell ref="C11:E11"/>
    <mergeCell ref="C12:I12"/>
    <mergeCell ref="C13:I13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7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70106-A268-40A3-BAC9-8452093B2B8E}">
  <sheetPr>
    <pageSetUpPr fitToPage="1"/>
  </sheetPr>
  <dimension ref="B2:L31"/>
  <sheetViews>
    <sheetView topLeftCell="A7" zoomScale="85" zoomScaleNormal="85" workbookViewId="0">
      <selection activeCell="B2" sqref="B2:J31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0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0" ht="15.65" customHeight="1" x14ac:dyDescent="0.35">
      <c r="B4" s="22" t="s">
        <v>16</v>
      </c>
      <c r="C4" s="22"/>
      <c r="D4" s="26" t="s">
        <v>24</v>
      </c>
      <c r="E4" s="26"/>
      <c r="F4" s="26"/>
      <c r="G4" s="26"/>
      <c r="H4" s="36" t="s">
        <v>22</v>
      </c>
      <c r="I4" s="36"/>
      <c r="J4" s="8" t="s">
        <v>93</v>
      </c>
    </row>
    <row r="5" spans="2:10" ht="18.899999999999999" customHeight="1" x14ac:dyDescent="0.3">
      <c r="B5" s="28" t="s">
        <v>1</v>
      </c>
      <c r="C5" s="28"/>
      <c r="D5" s="27" t="s">
        <v>25</v>
      </c>
      <c r="E5" s="27"/>
      <c r="F5" s="27"/>
      <c r="G5" s="27"/>
      <c r="H5" s="27"/>
      <c r="I5" s="27"/>
      <c r="J5" s="27"/>
    </row>
    <row r="6" spans="2:10" ht="30.9" customHeight="1" x14ac:dyDescent="0.35">
      <c r="B6" s="31" t="s">
        <v>31</v>
      </c>
      <c r="C6" s="31"/>
      <c r="D6" s="31"/>
      <c r="E6" s="31"/>
      <c r="F6" s="31"/>
      <c r="G6" s="31"/>
      <c r="H6" s="10" t="s">
        <v>2</v>
      </c>
      <c r="I6" s="32">
        <v>45639</v>
      </c>
      <c r="J6" s="33"/>
    </row>
    <row r="7" spans="2:10" ht="20.149999999999999" customHeight="1" x14ac:dyDescent="0.3">
      <c r="B7" s="34" t="s">
        <v>3</v>
      </c>
      <c r="C7" s="34"/>
      <c r="D7" s="30" t="s">
        <v>90</v>
      </c>
      <c r="E7" s="30"/>
      <c r="F7" s="30"/>
      <c r="G7" s="30"/>
      <c r="H7" s="3" t="s">
        <v>17</v>
      </c>
      <c r="I7" s="32">
        <v>45623</v>
      </c>
      <c r="J7" s="33"/>
    </row>
    <row r="8" spans="2:10" ht="18.899999999999999" customHeight="1" x14ac:dyDescent="0.3">
      <c r="B8" s="28" t="s">
        <v>5</v>
      </c>
      <c r="C8" s="28"/>
      <c r="D8" s="27" t="s">
        <v>90</v>
      </c>
      <c r="E8" s="27"/>
      <c r="F8" s="27"/>
      <c r="G8" s="27"/>
      <c r="H8" s="27"/>
      <c r="I8" s="27"/>
      <c r="J8" s="27"/>
    </row>
    <row r="9" spans="2:10" ht="20.399999999999999" customHeight="1" x14ac:dyDescent="0.3">
      <c r="B9" s="28" t="s">
        <v>4</v>
      </c>
      <c r="C9" s="28"/>
      <c r="D9" s="28"/>
      <c r="E9" s="28"/>
      <c r="F9" s="28"/>
      <c r="G9" s="28"/>
      <c r="H9" s="28"/>
      <c r="I9" s="28"/>
      <c r="J9" s="28"/>
    </row>
    <row r="10" spans="2:10" ht="30" x14ac:dyDescent="0.3">
      <c r="B10" s="2" t="s">
        <v>11</v>
      </c>
      <c r="C10" s="29" t="s">
        <v>6</v>
      </c>
      <c r="D10" s="29"/>
      <c r="E10" s="29"/>
      <c r="F10" s="3" t="s">
        <v>7</v>
      </c>
      <c r="G10" s="15" t="s">
        <v>8</v>
      </c>
      <c r="H10" s="15" t="s">
        <v>9</v>
      </c>
      <c r="I10" s="2" t="s">
        <v>21</v>
      </c>
      <c r="J10" s="13" t="s">
        <v>10</v>
      </c>
    </row>
    <row r="11" spans="2:10" ht="46" customHeight="1" x14ac:dyDescent="0.3">
      <c r="B11" s="4">
        <v>1</v>
      </c>
      <c r="C11" s="30" t="s">
        <v>94</v>
      </c>
      <c r="D11" s="30"/>
      <c r="E11" s="30"/>
      <c r="F11" s="5">
        <v>1</v>
      </c>
      <c r="G11" s="16">
        <v>13992</v>
      </c>
      <c r="H11" s="4" t="s">
        <v>30</v>
      </c>
      <c r="I11" s="17">
        <v>35</v>
      </c>
      <c r="J11" s="6">
        <f>G11*I11</f>
        <v>489720</v>
      </c>
    </row>
    <row r="12" spans="2:10" ht="46" customHeight="1" x14ac:dyDescent="0.3">
      <c r="B12" s="4">
        <v>2</v>
      </c>
      <c r="C12" s="30" t="s">
        <v>95</v>
      </c>
      <c r="D12" s="30"/>
      <c r="E12" s="30"/>
      <c r="F12" s="5">
        <v>1</v>
      </c>
      <c r="G12" s="16">
        <v>1</v>
      </c>
      <c r="H12" s="4" t="s">
        <v>81</v>
      </c>
      <c r="I12" s="17">
        <v>30000</v>
      </c>
      <c r="J12" s="6">
        <f>G12*I12</f>
        <v>30000</v>
      </c>
    </row>
    <row r="13" spans="2:10" ht="17.399999999999999" customHeight="1" x14ac:dyDescent="0.35">
      <c r="B13" s="14"/>
      <c r="C13" s="23" t="s">
        <v>18</v>
      </c>
      <c r="D13" s="23"/>
      <c r="E13" s="23"/>
      <c r="F13" s="23"/>
      <c r="G13" s="23"/>
      <c r="H13" s="23"/>
      <c r="I13" s="23"/>
      <c r="J13" s="7">
        <f>SUM(J11:J12)</f>
        <v>519720</v>
      </c>
    </row>
    <row r="14" spans="2:10" ht="17.399999999999999" customHeight="1" x14ac:dyDescent="0.35">
      <c r="B14" s="14"/>
      <c r="C14" s="24" t="s">
        <v>23</v>
      </c>
      <c r="D14" s="24"/>
      <c r="E14" s="24"/>
      <c r="F14" s="24"/>
      <c r="G14" s="24"/>
      <c r="H14" s="24"/>
      <c r="I14" s="24"/>
      <c r="J14" s="7">
        <f>J13*18%</f>
        <v>93549.599999999991</v>
      </c>
    </row>
    <row r="15" spans="2:10" ht="15.5" x14ac:dyDescent="0.35">
      <c r="B15" s="14"/>
      <c r="C15" s="24"/>
      <c r="D15" s="24"/>
      <c r="E15" s="24"/>
      <c r="F15" s="24"/>
      <c r="G15" s="24"/>
      <c r="H15" s="24"/>
      <c r="I15" s="24"/>
      <c r="J15" s="7"/>
    </row>
    <row r="16" spans="2:10" ht="15.5" x14ac:dyDescent="0.35">
      <c r="B16" s="14"/>
      <c r="C16" s="13"/>
      <c r="D16" s="13"/>
      <c r="E16" s="13"/>
      <c r="F16" s="13"/>
      <c r="G16" s="13"/>
      <c r="H16" s="13"/>
      <c r="I16" s="13"/>
      <c r="J16" s="18">
        <f>J13+J14+J15</f>
        <v>613269.6</v>
      </c>
    </row>
    <row r="17" spans="2:12" ht="14" customHeight="1" x14ac:dyDescent="0.35">
      <c r="B17" s="8"/>
      <c r="C17" s="25" t="s">
        <v>96</v>
      </c>
      <c r="D17" s="25"/>
      <c r="E17" s="25"/>
      <c r="F17" s="25"/>
      <c r="G17" s="25"/>
      <c r="H17" s="25"/>
      <c r="I17" s="25"/>
      <c r="J17" s="25"/>
    </row>
    <row r="18" spans="2:12" ht="15.5" x14ac:dyDescent="0.35">
      <c r="B18" s="14"/>
      <c r="C18" s="26" t="s">
        <v>12</v>
      </c>
      <c r="D18" s="26"/>
      <c r="E18" s="26"/>
      <c r="F18" s="8"/>
      <c r="G18" s="8"/>
      <c r="H18" s="8"/>
      <c r="I18" s="8"/>
      <c r="J18" s="9">
        <v>0</v>
      </c>
    </row>
    <row r="19" spans="2:12" ht="15.5" x14ac:dyDescent="0.35">
      <c r="B19" s="14"/>
      <c r="C19" s="26" t="s">
        <v>20</v>
      </c>
      <c r="D19" s="26"/>
      <c r="E19" s="26"/>
      <c r="F19" s="8"/>
      <c r="G19" s="8"/>
      <c r="H19" s="8"/>
      <c r="I19" s="8"/>
      <c r="J19" s="9"/>
      <c r="L19" s="11"/>
    </row>
    <row r="20" spans="2:12" ht="14" customHeight="1" x14ac:dyDescent="0.35">
      <c r="B20" s="14"/>
      <c r="C20" s="26" t="s">
        <v>13</v>
      </c>
      <c r="D20" s="26"/>
      <c r="E20" s="26"/>
      <c r="F20" s="8"/>
      <c r="G20" s="8" t="s">
        <v>19</v>
      </c>
      <c r="H20" s="8"/>
      <c r="I20" s="8"/>
      <c r="J20" s="19"/>
    </row>
    <row r="21" spans="2:12" ht="14" customHeight="1" x14ac:dyDescent="0.35">
      <c r="B21" s="8"/>
      <c r="C21" s="26"/>
      <c r="D21" s="26"/>
      <c r="E21" s="26"/>
      <c r="F21" s="8"/>
      <c r="G21" s="8"/>
      <c r="H21" s="8"/>
      <c r="I21" s="8"/>
      <c r="J21" s="8"/>
    </row>
    <row r="22" spans="2:12" ht="14" customHeight="1" x14ac:dyDescent="0.3">
      <c r="B22" s="27" t="s">
        <v>14</v>
      </c>
      <c r="C22" s="27"/>
      <c r="D22" s="27"/>
      <c r="E22" s="27"/>
      <c r="F22" s="27"/>
      <c r="G22" s="27"/>
      <c r="H22" s="27"/>
      <c r="I22" s="27"/>
      <c r="J22" s="27"/>
    </row>
    <row r="23" spans="2:12" x14ac:dyDescent="0.3">
      <c r="B23" s="27"/>
      <c r="C23" s="27"/>
      <c r="D23" s="27"/>
      <c r="E23" s="27"/>
      <c r="F23" s="27"/>
      <c r="G23" s="27"/>
      <c r="H23" s="27"/>
      <c r="I23" s="27"/>
      <c r="J23" s="27"/>
    </row>
    <row r="24" spans="2:12" x14ac:dyDescent="0.3">
      <c r="B24" s="27"/>
      <c r="C24" s="27"/>
      <c r="D24" s="27"/>
      <c r="E24" s="27"/>
      <c r="F24" s="27"/>
      <c r="G24" s="27"/>
      <c r="H24" s="27"/>
      <c r="I24" s="27"/>
      <c r="J24" s="27"/>
    </row>
    <row r="25" spans="2:12" ht="14.15" customHeight="1" x14ac:dyDescent="0.3"/>
    <row r="26" spans="2:12" ht="14.15" customHeight="1" x14ac:dyDescent="0.3"/>
    <row r="27" spans="2:12" ht="14" customHeight="1" x14ac:dyDescent="0.3">
      <c r="B27" s="28" t="s">
        <v>15</v>
      </c>
      <c r="C27" s="28"/>
      <c r="D27" s="28"/>
      <c r="E27" s="28"/>
      <c r="F27" s="28"/>
      <c r="G27" s="28"/>
      <c r="H27" s="28"/>
      <c r="I27" s="28"/>
      <c r="J27" s="28"/>
    </row>
    <row r="28" spans="2:12" ht="14" customHeight="1" x14ac:dyDescent="0.3">
      <c r="B28" s="28"/>
      <c r="C28" s="28"/>
      <c r="D28" s="28"/>
      <c r="E28" s="28"/>
      <c r="F28" s="28"/>
      <c r="G28" s="28"/>
      <c r="H28" s="28"/>
      <c r="I28" s="28"/>
      <c r="J28" s="28"/>
    </row>
    <row r="29" spans="2:12" x14ac:dyDescent="0.3">
      <c r="B29" s="29"/>
      <c r="C29" s="29"/>
      <c r="D29" s="29"/>
      <c r="E29" s="29"/>
      <c r="F29" s="29"/>
      <c r="G29" s="29"/>
      <c r="H29" s="29"/>
      <c r="I29" s="29"/>
      <c r="J29" s="29"/>
    </row>
    <row r="30" spans="2:12" x14ac:dyDescent="0.3">
      <c r="B30" s="29"/>
      <c r="C30" s="29"/>
      <c r="D30" s="29"/>
      <c r="E30" s="29"/>
      <c r="F30" s="29"/>
      <c r="G30" s="29"/>
      <c r="H30" s="29"/>
      <c r="I30" s="29"/>
      <c r="J30" s="29"/>
    </row>
    <row r="31" spans="2:12" ht="15" x14ac:dyDescent="0.3">
      <c r="B31" s="22" t="s">
        <v>83</v>
      </c>
      <c r="C31" s="22"/>
      <c r="D31" s="22"/>
      <c r="E31" s="22"/>
      <c r="F31" s="22"/>
      <c r="G31" s="22"/>
      <c r="H31" s="22"/>
      <c r="I31" s="22"/>
      <c r="J31" s="22"/>
    </row>
  </sheetData>
  <mergeCells count="29"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  <mergeCell ref="B9:J9"/>
    <mergeCell ref="C10:E10"/>
    <mergeCell ref="C12:E12"/>
    <mergeCell ref="C13:I13"/>
    <mergeCell ref="C14:I14"/>
    <mergeCell ref="B27:J28"/>
    <mergeCell ref="B29:J30"/>
    <mergeCell ref="B31:J31"/>
    <mergeCell ref="C11:E11"/>
    <mergeCell ref="C17:J17"/>
    <mergeCell ref="C18:E18"/>
    <mergeCell ref="C19:E19"/>
    <mergeCell ref="C20:E20"/>
    <mergeCell ref="C21:E21"/>
    <mergeCell ref="B22:J24"/>
    <mergeCell ref="C15:I15"/>
  </mergeCells>
  <pageMargins left="0.7" right="0.7" top="0.75" bottom="0.75" header="0.3" footer="0.3"/>
  <pageSetup paperSize="9" scale="7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72F4-16E6-42EE-8EE2-351D7A82A7F1}">
  <sheetPr>
    <pageSetUpPr fitToPage="1"/>
  </sheetPr>
  <dimension ref="B2:L34"/>
  <sheetViews>
    <sheetView tabSelected="1" topLeftCell="A7" zoomScale="85" zoomScaleNormal="85" workbookViewId="0">
      <selection activeCell="B2" sqref="B2:J33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0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0" ht="15.65" customHeight="1" x14ac:dyDescent="0.35">
      <c r="B4" s="22" t="s">
        <v>16</v>
      </c>
      <c r="C4" s="22"/>
      <c r="D4" s="26" t="s">
        <v>24</v>
      </c>
      <c r="E4" s="26"/>
      <c r="F4" s="26"/>
      <c r="G4" s="26"/>
      <c r="H4" s="36" t="s">
        <v>22</v>
      </c>
      <c r="I4" s="36"/>
      <c r="J4" s="8" t="s">
        <v>97</v>
      </c>
    </row>
    <row r="5" spans="2:10" ht="18.899999999999999" customHeight="1" x14ac:dyDescent="0.3">
      <c r="B5" s="28" t="s">
        <v>1</v>
      </c>
      <c r="C5" s="28"/>
      <c r="D5" s="27" t="s">
        <v>25</v>
      </c>
      <c r="E5" s="27"/>
      <c r="F5" s="27"/>
      <c r="G5" s="27"/>
      <c r="H5" s="27"/>
      <c r="I5" s="27"/>
      <c r="J5" s="27"/>
    </row>
    <row r="6" spans="2:10" ht="30.9" customHeight="1" x14ac:dyDescent="0.35">
      <c r="B6" s="31" t="s">
        <v>31</v>
      </c>
      <c r="C6" s="31"/>
      <c r="D6" s="31"/>
      <c r="E6" s="31"/>
      <c r="F6" s="31"/>
      <c r="G6" s="31"/>
      <c r="H6" s="10" t="s">
        <v>2</v>
      </c>
      <c r="I6" s="32">
        <v>45681</v>
      </c>
      <c r="J6" s="33"/>
    </row>
    <row r="7" spans="2:10" ht="20.149999999999999" customHeight="1" x14ac:dyDescent="0.3">
      <c r="B7" s="34" t="s">
        <v>3</v>
      </c>
      <c r="C7" s="34"/>
      <c r="D7" s="30" t="s">
        <v>98</v>
      </c>
      <c r="E7" s="30"/>
      <c r="F7" s="30"/>
      <c r="G7" s="30"/>
      <c r="H7" s="3" t="s">
        <v>17</v>
      </c>
      <c r="I7" s="32">
        <v>45667</v>
      </c>
      <c r="J7" s="33"/>
    </row>
    <row r="8" spans="2:10" ht="18.899999999999999" customHeight="1" x14ac:dyDescent="0.3">
      <c r="B8" s="28" t="s">
        <v>5</v>
      </c>
      <c r="C8" s="28"/>
      <c r="D8" s="27" t="s">
        <v>98</v>
      </c>
      <c r="E8" s="27"/>
      <c r="F8" s="27"/>
      <c r="G8" s="27"/>
      <c r="H8" s="27"/>
      <c r="I8" s="27"/>
      <c r="J8" s="27"/>
    </row>
    <row r="9" spans="2:10" ht="20.399999999999999" customHeight="1" x14ac:dyDescent="0.3">
      <c r="B9" s="28" t="s">
        <v>4</v>
      </c>
      <c r="C9" s="28"/>
      <c r="D9" s="28"/>
      <c r="E9" s="28"/>
      <c r="F9" s="28"/>
      <c r="G9" s="28"/>
      <c r="H9" s="28"/>
      <c r="I9" s="28"/>
      <c r="J9" s="28"/>
    </row>
    <row r="10" spans="2:10" ht="30" x14ac:dyDescent="0.3">
      <c r="B10" s="2" t="s">
        <v>11</v>
      </c>
      <c r="C10" s="29" t="s">
        <v>6</v>
      </c>
      <c r="D10" s="29"/>
      <c r="E10" s="29"/>
      <c r="F10" s="3" t="s">
        <v>7</v>
      </c>
      <c r="G10" s="15" t="s">
        <v>8</v>
      </c>
      <c r="H10" s="15" t="s">
        <v>9</v>
      </c>
      <c r="I10" s="2" t="s">
        <v>21</v>
      </c>
      <c r="J10" s="13" t="s">
        <v>10</v>
      </c>
    </row>
    <row r="11" spans="2:10" ht="15.5" x14ac:dyDescent="0.3">
      <c r="B11" s="4">
        <v>1</v>
      </c>
      <c r="C11" s="30" t="s">
        <v>57</v>
      </c>
      <c r="D11" s="30"/>
      <c r="E11" s="30"/>
      <c r="F11" s="5">
        <v>1</v>
      </c>
      <c r="G11" s="16">
        <v>10058.42</v>
      </c>
      <c r="H11" s="4" t="s">
        <v>30</v>
      </c>
      <c r="I11" s="17">
        <v>22</v>
      </c>
      <c r="J11" s="6">
        <f>G11*I11</f>
        <v>221285.24</v>
      </c>
    </row>
    <row r="12" spans="2:10" ht="15.5" x14ac:dyDescent="0.3">
      <c r="B12" s="4">
        <v>2</v>
      </c>
      <c r="C12" s="30" t="s">
        <v>99</v>
      </c>
      <c r="D12" s="30"/>
      <c r="E12" s="30"/>
      <c r="F12" s="5">
        <v>1</v>
      </c>
      <c r="G12" s="16">
        <v>6923.13</v>
      </c>
      <c r="H12" s="4" t="s">
        <v>30</v>
      </c>
      <c r="I12" s="17">
        <v>20</v>
      </c>
      <c r="J12" s="6">
        <f>G12*I12</f>
        <v>138462.6</v>
      </c>
    </row>
    <row r="13" spans="2:10" ht="15.5" x14ac:dyDescent="0.3">
      <c r="B13" s="4">
        <v>3</v>
      </c>
      <c r="C13" s="30" t="s">
        <v>29</v>
      </c>
      <c r="D13" s="30"/>
      <c r="E13" s="30"/>
      <c r="F13" s="5">
        <v>1</v>
      </c>
      <c r="G13" s="16">
        <v>761.16</v>
      </c>
      <c r="H13" s="4" t="s">
        <v>30</v>
      </c>
      <c r="I13" s="17">
        <v>40</v>
      </c>
      <c r="J13" s="6">
        <f>G13*I13</f>
        <v>30446.399999999998</v>
      </c>
    </row>
    <row r="14" spans="2:10" ht="15.5" x14ac:dyDescent="0.3">
      <c r="B14" s="4">
        <v>4</v>
      </c>
      <c r="C14" s="30" t="s">
        <v>100</v>
      </c>
      <c r="D14" s="30"/>
      <c r="E14" s="30"/>
      <c r="F14" s="5">
        <v>1</v>
      </c>
      <c r="G14" s="16">
        <v>89.88</v>
      </c>
      <c r="H14" s="4" t="s">
        <v>30</v>
      </c>
      <c r="I14" s="17">
        <v>70</v>
      </c>
      <c r="J14" s="6">
        <f>G14*I14</f>
        <v>6291.5999999999995</v>
      </c>
    </row>
    <row r="15" spans="2:10" ht="15.5" x14ac:dyDescent="0.3">
      <c r="B15" s="4">
        <v>5</v>
      </c>
      <c r="C15" s="30" t="s">
        <v>102</v>
      </c>
      <c r="D15" s="30"/>
      <c r="E15" s="30"/>
      <c r="F15" s="5">
        <v>1</v>
      </c>
      <c r="G15" s="16">
        <v>2940</v>
      </c>
      <c r="H15" s="4" t="s">
        <v>101</v>
      </c>
      <c r="I15" s="17">
        <v>55</v>
      </c>
      <c r="J15" s="6">
        <f>G15*I15</f>
        <v>161700</v>
      </c>
    </row>
    <row r="16" spans="2:10" ht="17.399999999999999" customHeight="1" x14ac:dyDescent="0.35">
      <c r="B16" s="14"/>
      <c r="C16" s="23" t="s">
        <v>18</v>
      </c>
      <c r="D16" s="23"/>
      <c r="E16" s="23"/>
      <c r="F16" s="23"/>
      <c r="G16" s="23"/>
      <c r="H16" s="23"/>
      <c r="I16" s="23"/>
      <c r="J16" s="7">
        <f>SUM(J11:J15)</f>
        <v>558185.84</v>
      </c>
    </row>
    <row r="17" spans="2:12" ht="17.399999999999999" customHeight="1" x14ac:dyDescent="0.35">
      <c r="B17" s="14"/>
      <c r="C17" s="24" t="s">
        <v>23</v>
      </c>
      <c r="D17" s="24"/>
      <c r="E17" s="24"/>
      <c r="F17" s="24"/>
      <c r="G17" s="24"/>
      <c r="H17" s="24"/>
      <c r="I17" s="24"/>
      <c r="J17" s="7">
        <f>J16*18%</f>
        <v>100473.4512</v>
      </c>
    </row>
    <row r="18" spans="2:12" ht="15.5" x14ac:dyDescent="0.35">
      <c r="B18" s="14"/>
      <c r="C18" s="24"/>
      <c r="D18" s="24"/>
      <c r="E18" s="24"/>
      <c r="F18" s="24"/>
      <c r="G18" s="24"/>
      <c r="H18" s="24"/>
      <c r="I18" s="24"/>
      <c r="J18" s="7"/>
    </row>
    <row r="19" spans="2:12" ht="15.5" x14ac:dyDescent="0.35">
      <c r="B19" s="14"/>
      <c r="C19" s="13"/>
      <c r="D19" s="13"/>
      <c r="E19" s="13"/>
      <c r="F19" s="13"/>
      <c r="G19" s="13"/>
      <c r="H19" s="13"/>
      <c r="I19" s="13"/>
      <c r="J19" s="18">
        <f>J16+J17+J18</f>
        <v>658659.29119999998</v>
      </c>
    </row>
    <row r="20" spans="2:12" ht="14" customHeight="1" x14ac:dyDescent="0.35">
      <c r="B20" s="8"/>
      <c r="C20" s="25" t="s">
        <v>103</v>
      </c>
      <c r="D20" s="25"/>
      <c r="E20" s="25"/>
      <c r="F20" s="25"/>
      <c r="G20" s="25"/>
      <c r="H20" s="25"/>
      <c r="I20" s="25"/>
      <c r="J20" s="25"/>
    </row>
    <row r="21" spans="2:12" ht="15.5" x14ac:dyDescent="0.35">
      <c r="B21" s="14"/>
      <c r="C21" s="26" t="s">
        <v>12</v>
      </c>
      <c r="D21" s="26"/>
      <c r="E21" s="26"/>
      <c r="F21" s="8"/>
      <c r="G21" s="8"/>
      <c r="H21" s="8"/>
      <c r="I21" s="8"/>
      <c r="J21" s="9">
        <v>0</v>
      </c>
    </row>
    <row r="22" spans="2:12" ht="15.5" x14ac:dyDescent="0.35">
      <c r="B22" s="14"/>
      <c r="C22" s="26" t="s">
        <v>20</v>
      </c>
      <c r="D22" s="26"/>
      <c r="E22" s="26"/>
      <c r="F22" s="8"/>
      <c r="G22" s="8"/>
      <c r="H22" s="8"/>
      <c r="I22" s="8"/>
      <c r="J22" s="9"/>
      <c r="L22" s="11"/>
    </row>
    <row r="23" spans="2:12" ht="14" customHeight="1" x14ac:dyDescent="0.35">
      <c r="B23" s="14"/>
      <c r="C23" s="26" t="s">
        <v>13</v>
      </c>
      <c r="D23" s="26"/>
      <c r="E23" s="26"/>
      <c r="F23" s="8"/>
      <c r="G23" s="8" t="s">
        <v>19</v>
      </c>
      <c r="H23" s="8"/>
      <c r="I23" s="8"/>
      <c r="J23" s="19"/>
    </row>
    <row r="24" spans="2:12" ht="14" customHeight="1" x14ac:dyDescent="0.35">
      <c r="B24" s="8"/>
      <c r="C24" s="26"/>
      <c r="D24" s="26"/>
      <c r="E24" s="26"/>
      <c r="F24" s="8"/>
      <c r="G24" s="8"/>
      <c r="H24" s="8"/>
      <c r="I24" s="8"/>
      <c r="J24" s="8"/>
    </row>
    <row r="25" spans="2:12" ht="14" customHeight="1" x14ac:dyDescent="0.3">
      <c r="B25" s="27" t="s">
        <v>14</v>
      </c>
      <c r="C25" s="27"/>
      <c r="D25" s="27"/>
      <c r="E25" s="27"/>
      <c r="F25" s="27"/>
      <c r="G25" s="27"/>
      <c r="H25" s="27"/>
      <c r="I25" s="27"/>
      <c r="J25" s="27"/>
    </row>
    <row r="26" spans="2:12" x14ac:dyDescent="0.3">
      <c r="B26" s="27"/>
      <c r="C26" s="27"/>
      <c r="D26" s="27"/>
      <c r="E26" s="27"/>
      <c r="F26" s="27"/>
      <c r="G26" s="27"/>
      <c r="H26" s="27"/>
      <c r="I26" s="27"/>
      <c r="J26" s="27"/>
    </row>
    <row r="27" spans="2:12" x14ac:dyDescent="0.3">
      <c r="B27" s="27"/>
      <c r="C27" s="27"/>
      <c r="D27" s="27"/>
      <c r="E27" s="27"/>
      <c r="F27" s="27"/>
      <c r="G27" s="27"/>
      <c r="H27" s="27"/>
      <c r="I27" s="27"/>
      <c r="J27" s="27"/>
    </row>
    <row r="28" spans="2:12" ht="14.15" customHeight="1" x14ac:dyDescent="0.3"/>
    <row r="29" spans="2:12" ht="14.15" customHeight="1" x14ac:dyDescent="0.3"/>
    <row r="30" spans="2:12" ht="14" customHeight="1" x14ac:dyDescent="0.3">
      <c r="B30" s="28" t="s">
        <v>15</v>
      </c>
      <c r="C30" s="28"/>
      <c r="D30" s="28"/>
      <c r="E30" s="28"/>
      <c r="F30" s="28"/>
      <c r="G30" s="28"/>
      <c r="H30" s="28"/>
      <c r="I30" s="28"/>
      <c r="J30" s="28"/>
    </row>
    <row r="31" spans="2:12" ht="14" customHeight="1" x14ac:dyDescent="0.3">
      <c r="B31" s="28"/>
      <c r="C31" s="28"/>
      <c r="D31" s="28"/>
      <c r="E31" s="28"/>
      <c r="F31" s="28"/>
      <c r="G31" s="28"/>
      <c r="H31" s="28"/>
      <c r="I31" s="28"/>
      <c r="J31" s="28"/>
    </row>
    <row r="32" spans="2:12" x14ac:dyDescent="0.3">
      <c r="B32" s="29"/>
      <c r="C32" s="29"/>
      <c r="D32" s="29"/>
      <c r="E32" s="29"/>
      <c r="F32" s="29"/>
      <c r="G32" s="29"/>
      <c r="H32" s="29"/>
      <c r="I32" s="29"/>
      <c r="J32" s="29"/>
    </row>
    <row r="33" spans="2:10" x14ac:dyDescent="0.3">
      <c r="B33" s="29"/>
      <c r="C33" s="29"/>
      <c r="D33" s="29"/>
      <c r="E33" s="29"/>
      <c r="F33" s="29"/>
      <c r="G33" s="29"/>
      <c r="H33" s="29"/>
      <c r="I33" s="29"/>
      <c r="J33" s="29"/>
    </row>
    <row r="34" spans="2:10" ht="15" x14ac:dyDescent="0.3">
      <c r="B34" s="22" t="s">
        <v>83</v>
      </c>
      <c r="C34" s="22"/>
      <c r="D34" s="22"/>
      <c r="E34" s="22"/>
      <c r="F34" s="22"/>
      <c r="G34" s="22"/>
      <c r="H34" s="22"/>
      <c r="I34" s="22"/>
      <c r="J34" s="22"/>
    </row>
  </sheetData>
  <mergeCells count="32">
    <mergeCell ref="B25:J27"/>
    <mergeCell ref="B30:J31"/>
    <mergeCell ref="B32:J33"/>
    <mergeCell ref="B34:J34"/>
    <mergeCell ref="C11:E11"/>
    <mergeCell ref="C12:E12"/>
    <mergeCell ref="C14:E14"/>
    <mergeCell ref="C18:I18"/>
    <mergeCell ref="C20:J20"/>
    <mergeCell ref="C21:E21"/>
    <mergeCell ref="C22:E22"/>
    <mergeCell ref="C23:E23"/>
    <mergeCell ref="C24:E24"/>
    <mergeCell ref="C17:I17"/>
    <mergeCell ref="B9:J9"/>
    <mergeCell ref="C10:E10"/>
    <mergeCell ref="C13:E13"/>
    <mergeCell ref="C15:E15"/>
    <mergeCell ref="C16:I16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7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8CEE9-A762-4449-981B-AD75F74A6F17}">
  <sheetPr>
    <pageSetUpPr fitToPage="1"/>
  </sheetPr>
  <dimension ref="B2:L30"/>
  <sheetViews>
    <sheetView topLeftCell="A4" zoomScale="85" zoomScaleNormal="85" workbookViewId="0">
      <selection activeCell="B2" sqref="B2:J31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0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0" ht="15.65" customHeight="1" x14ac:dyDescent="0.35">
      <c r="B4" s="22" t="s">
        <v>16</v>
      </c>
      <c r="C4" s="22"/>
      <c r="D4" s="26" t="s">
        <v>24</v>
      </c>
      <c r="E4" s="26"/>
      <c r="F4" s="26"/>
      <c r="G4" s="26"/>
      <c r="H4" s="36" t="s">
        <v>22</v>
      </c>
      <c r="I4" s="36"/>
      <c r="J4" s="8" t="s">
        <v>104</v>
      </c>
    </row>
    <row r="5" spans="2:10" ht="18.899999999999999" customHeight="1" x14ac:dyDescent="0.3">
      <c r="B5" s="28" t="s">
        <v>1</v>
      </c>
      <c r="C5" s="28"/>
      <c r="D5" s="27" t="s">
        <v>25</v>
      </c>
      <c r="E5" s="27"/>
      <c r="F5" s="27"/>
      <c r="G5" s="27"/>
      <c r="H5" s="27"/>
      <c r="I5" s="27"/>
      <c r="J5" s="27"/>
    </row>
    <row r="6" spans="2:10" ht="30.9" customHeight="1" x14ac:dyDescent="0.35">
      <c r="B6" s="31" t="s">
        <v>31</v>
      </c>
      <c r="C6" s="31"/>
      <c r="D6" s="31"/>
      <c r="E6" s="31"/>
      <c r="F6" s="31"/>
      <c r="G6" s="31"/>
      <c r="H6" s="10" t="s">
        <v>2</v>
      </c>
      <c r="I6" s="32">
        <v>45681</v>
      </c>
      <c r="J6" s="33"/>
    </row>
    <row r="7" spans="2:10" ht="20.149999999999999" customHeight="1" x14ac:dyDescent="0.3">
      <c r="B7" s="34" t="s">
        <v>3</v>
      </c>
      <c r="C7" s="34"/>
      <c r="D7" s="30" t="s">
        <v>105</v>
      </c>
      <c r="E7" s="30"/>
      <c r="F7" s="30"/>
      <c r="G7" s="30"/>
      <c r="H7" s="3" t="s">
        <v>17</v>
      </c>
      <c r="I7" s="32">
        <v>45678</v>
      </c>
      <c r="J7" s="33"/>
    </row>
    <row r="8" spans="2:10" ht="18.899999999999999" customHeight="1" x14ac:dyDescent="0.3">
      <c r="B8" s="28" t="s">
        <v>5</v>
      </c>
      <c r="C8" s="28"/>
      <c r="D8" s="27" t="s">
        <v>105</v>
      </c>
      <c r="E8" s="27"/>
      <c r="F8" s="27"/>
      <c r="G8" s="27"/>
      <c r="H8" s="27"/>
      <c r="I8" s="27"/>
      <c r="J8" s="27"/>
    </row>
    <row r="9" spans="2:10" ht="20.399999999999999" customHeight="1" x14ac:dyDescent="0.3">
      <c r="B9" s="28" t="s">
        <v>4</v>
      </c>
      <c r="C9" s="28"/>
      <c r="D9" s="28"/>
      <c r="E9" s="28"/>
      <c r="F9" s="28"/>
      <c r="G9" s="28"/>
      <c r="H9" s="28"/>
      <c r="I9" s="28"/>
      <c r="J9" s="28"/>
    </row>
    <row r="10" spans="2:10" ht="30" x14ac:dyDescent="0.3">
      <c r="B10" s="2" t="s">
        <v>11</v>
      </c>
      <c r="C10" s="29" t="s">
        <v>6</v>
      </c>
      <c r="D10" s="29"/>
      <c r="E10" s="29"/>
      <c r="F10" s="3" t="s">
        <v>7</v>
      </c>
      <c r="G10" s="15" t="s">
        <v>8</v>
      </c>
      <c r="H10" s="15" t="s">
        <v>9</v>
      </c>
      <c r="I10" s="2" t="s">
        <v>21</v>
      </c>
      <c r="J10" s="13" t="s">
        <v>10</v>
      </c>
    </row>
    <row r="11" spans="2:10" ht="59" customHeight="1" x14ac:dyDescent="0.3">
      <c r="B11" s="4">
        <v>1</v>
      </c>
      <c r="C11" s="30" t="s">
        <v>106</v>
      </c>
      <c r="D11" s="30"/>
      <c r="E11" s="30"/>
      <c r="F11" s="5">
        <v>1</v>
      </c>
      <c r="G11" s="16">
        <v>12490.34</v>
      </c>
      <c r="H11" s="4" t="s">
        <v>30</v>
      </c>
      <c r="I11" s="17">
        <v>35</v>
      </c>
      <c r="J11" s="6">
        <f>G11*I11</f>
        <v>437161.9</v>
      </c>
    </row>
    <row r="12" spans="2:10" ht="17.399999999999999" customHeight="1" x14ac:dyDescent="0.35">
      <c r="B12" s="14"/>
      <c r="C12" s="23" t="s">
        <v>18</v>
      </c>
      <c r="D12" s="23"/>
      <c r="E12" s="23"/>
      <c r="F12" s="23"/>
      <c r="G12" s="23"/>
      <c r="H12" s="23"/>
      <c r="I12" s="23"/>
      <c r="J12" s="7">
        <f>SUM(J11:J11)</f>
        <v>437161.9</v>
      </c>
    </row>
    <row r="13" spans="2:10" ht="17.399999999999999" customHeight="1" x14ac:dyDescent="0.35">
      <c r="B13" s="14"/>
      <c r="C13" s="24" t="s">
        <v>23</v>
      </c>
      <c r="D13" s="24"/>
      <c r="E13" s="24"/>
      <c r="F13" s="24"/>
      <c r="G13" s="24"/>
      <c r="H13" s="24"/>
      <c r="I13" s="24"/>
      <c r="J13" s="7">
        <f>J12*18%</f>
        <v>78689.142000000007</v>
      </c>
    </row>
    <row r="14" spans="2:10" ht="15.5" x14ac:dyDescent="0.35">
      <c r="B14" s="14"/>
      <c r="C14" s="24"/>
      <c r="D14" s="24"/>
      <c r="E14" s="24"/>
      <c r="F14" s="24"/>
      <c r="G14" s="24"/>
      <c r="H14" s="24"/>
      <c r="I14" s="24"/>
      <c r="J14" s="7"/>
    </row>
    <row r="15" spans="2:10" ht="15.5" x14ac:dyDescent="0.35">
      <c r="B15" s="14"/>
      <c r="C15" s="13"/>
      <c r="D15" s="13"/>
      <c r="E15" s="13"/>
      <c r="F15" s="13"/>
      <c r="G15" s="13"/>
      <c r="H15" s="13"/>
      <c r="I15" s="13"/>
      <c r="J15" s="18">
        <f>J12+J13+J14-1</f>
        <v>515850.04200000002</v>
      </c>
    </row>
    <row r="16" spans="2:10" ht="14" customHeight="1" x14ac:dyDescent="0.35">
      <c r="B16" s="8"/>
      <c r="C16" s="25" t="s">
        <v>107</v>
      </c>
      <c r="D16" s="25"/>
      <c r="E16" s="25"/>
      <c r="F16" s="25"/>
      <c r="G16" s="25"/>
      <c r="H16" s="25"/>
      <c r="I16" s="25"/>
      <c r="J16" s="25"/>
    </row>
    <row r="17" spans="2:12" ht="15.5" x14ac:dyDescent="0.35">
      <c r="B17" s="14"/>
      <c r="C17" s="26" t="s">
        <v>12</v>
      </c>
      <c r="D17" s="26"/>
      <c r="E17" s="26"/>
      <c r="F17" s="8"/>
      <c r="G17" s="8"/>
      <c r="H17" s="8"/>
      <c r="I17" s="8"/>
      <c r="J17" s="9">
        <v>0</v>
      </c>
    </row>
    <row r="18" spans="2:12" ht="15.5" x14ac:dyDescent="0.35">
      <c r="B18" s="14"/>
      <c r="C18" s="26" t="s">
        <v>20</v>
      </c>
      <c r="D18" s="26"/>
      <c r="E18" s="26"/>
      <c r="F18" s="8"/>
      <c r="G18" s="8"/>
      <c r="H18" s="8"/>
      <c r="I18" s="8"/>
      <c r="J18" s="9"/>
      <c r="L18" s="11"/>
    </row>
    <row r="19" spans="2:12" ht="14" customHeight="1" x14ac:dyDescent="0.35">
      <c r="B19" s="14"/>
      <c r="C19" s="26" t="s">
        <v>13</v>
      </c>
      <c r="D19" s="26"/>
      <c r="E19" s="26"/>
      <c r="F19" s="8"/>
      <c r="G19" s="8" t="s">
        <v>19</v>
      </c>
      <c r="H19" s="8"/>
      <c r="I19" s="8"/>
      <c r="J19" s="19"/>
    </row>
    <row r="20" spans="2:12" ht="14" customHeight="1" x14ac:dyDescent="0.35">
      <c r="B20" s="8"/>
      <c r="C20" s="26"/>
      <c r="D20" s="26"/>
      <c r="E20" s="26"/>
      <c r="F20" s="8"/>
      <c r="G20" s="8"/>
      <c r="H20" s="8"/>
      <c r="I20" s="8"/>
      <c r="J20" s="8"/>
    </row>
    <row r="21" spans="2:12" ht="14" customHeight="1" x14ac:dyDescent="0.3">
      <c r="B21" s="27" t="s">
        <v>14</v>
      </c>
      <c r="C21" s="27"/>
      <c r="D21" s="27"/>
      <c r="E21" s="27"/>
      <c r="F21" s="27"/>
      <c r="G21" s="27"/>
      <c r="H21" s="27"/>
      <c r="I21" s="27"/>
      <c r="J21" s="27"/>
    </row>
    <row r="22" spans="2:12" x14ac:dyDescent="0.3">
      <c r="B22" s="27"/>
      <c r="C22" s="27"/>
      <c r="D22" s="27"/>
      <c r="E22" s="27"/>
      <c r="F22" s="27"/>
      <c r="G22" s="27"/>
      <c r="H22" s="27"/>
      <c r="I22" s="27"/>
      <c r="J22" s="27"/>
    </row>
    <row r="23" spans="2:12" x14ac:dyDescent="0.3">
      <c r="B23" s="27"/>
      <c r="C23" s="27"/>
      <c r="D23" s="27"/>
      <c r="E23" s="27"/>
      <c r="F23" s="27"/>
      <c r="G23" s="27"/>
      <c r="H23" s="27"/>
      <c r="I23" s="27"/>
      <c r="J23" s="27"/>
    </row>
    <row r="24" spans="2:12" ht="14.15" customHeight="1" x14ac:dyDescent="0.3"/>
    <row r="25" spans="2:12" ht="14.15" customHeight="1" x14ac:dyDescent="0.3"/>
    <row r="26" spans="2:12" ht="14" customHeight="1" x14ac:dyDescent="0.3">
      <c r="B26" s="28" t="s">
        <v>15</v>
      </c>
      <c r="C26" s="28"/>
      <c r="D26" s="28"/>
      <c r="E26" s="28"/>
      <c r="F26" s="28"/>
      <c r="G26" s="28"/>
      <c r="H26" s="28"/>
      <c r="I26" s="28"/>
      <c r="J26" s="28"/>
    </row>
    <row r="27" spans="2:12" ht="14" customHeight="1" x14ac:dyDescent="0.3">
      <c r="B27" s="28"/>
      <c r="C27" s="28"/>
      <c r="D27" s="28"/>
      <c r="E27" s="28"/>
      <c r="F27" s="28"/>
      <c r="G27" s="28"/>
      <c r="H27" s="28"/>
      <c r="I27" s="28"/>
      <c r="J27" s="28"/>
    </row>
    <row r="28" spans="2:12" x14ac:dyDescent="0.3">
      <c r="B28" s="29"/>
      <c r="C28" s="29"/>
      <c r="D28" s="29"/>
      <c r="E28" s="29"/>
      <c r="F28" s="29"/>
      <c r="G28" s="29"/>
      <c r="H28" s="29"/>
      <c r="I28" s="29"/>
      <c r="J28" s="29"/>
    </row>
    <row r="29" spans="2:12" x14ac:dyDescent="0.3">
      <c r="B29" s="29"/>
      <c r="C29" s="29"/>
      <c r="D29" s="29"/>
      <c r="E29" s="29"/>
      <c r="F29" s="29"/>
      <c r="G29" s="29"/>
      <c r="H29" s="29"/>
      <c r="I29" s="29"/>
      <c r="J29" s="29"/>
    </row>
    <row r="30" spans="2:12" ht="15" x14ac:dyDescent="0.3">
      <c r="B30" s="22" t="s">
        <v>83</v>
      </c>
      <c r="C30" s="22"/>
      <c r="D30" s="22"/>
      <c r="E30" s="22"/>
      <c r="F30" s="22"/>
      <c r="G30" s="22"/>
      <c r="H30" s="22"/>
      <c r="I30" s="22"/>
      <c r="J30" s="22"/>
    </row>
  </sheetData>
  <mergeCells count="28">
    <mergeCell ref="B30:J30"/>
    <mergeCell ref="C18:E18"/>
    <mergeCell ref="C19:E19"/>
    <mergeCell ref="C20:E20"/>
    <mergeCell ref="B21:J23"/>
    <mergeCell ref="B26:J27"/>
    <mergeCell ref="B28:J29"/>
    <mergeCell ref="C12:I12"/>
    <mergeCell ref="C13:I13"/>
    <mergeCell ref="C14:I14"/>
    <mergeCell ref="C16:J16"/>
    <mergeCell ref="C17:E17"/>
    <mergeCell ref="B9:J9"/>
    <mergeCell ref="C10:E10"/>
    <mergeCell ref="C11:E11"/>
    <mergeCell ref="B6:G6"/>
    <mergeCell ref="I6:J6"/>
    <mergeCell ref="B7:C7"/>
    <mergeCell ref="D7:G7"/>
    <mergeCell ref="I7:J7"/>
    <mergeCell ref="B8:C8"/>
    <mergeCell ref="D8:J8"/>
    <mergeCell ref="B2:J2"/>
    <mergeCell ref="B4:C4"/>
    <mergeCell ref="D4:G4"/>
    <mergeCell ref="H4:I4"/>
    <mergeCell ref="B5:C5"/>
    <mergeCell ref="D5:J5"/>
  </mergeCells>
  <pageMargins left="0.7" right="0.7" top="0.75" bottom="0.75" header="0.3" footer="0.3"/>
  <pageSetup paperSize="9" scale="7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E3880-5249-443A-A57C-86D1158CE72C}">
  <sheetPr>
    <pageSetUpPr fitToPage="1"/>
  </sheetPr>
  <dimension ref="B2:L33"/>
  <sheetViews>
    <sheetView topLeftCell="A3" zoomScale="85" zoomScaleNormal="85" workbookViewId="0">
      <selection activeCell="B2" sqref="B2:J32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0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0" ht="15.65" customHeight="1" x14ac:dyDescent="0.35">
      <c r="B4" s="22" t="s">
        <v>16</v>
      </c>
      <c r="C4" s="22"/>
      <c r="D4" s="26" t="s">
        <v>24</v>
      </c>
      <c r="E4" s="26"/>
      <c r="F4" s="26"/>
      <c r="G4" s="26"/>
      <c r="H4" s="36" t="s">
        <v>22</v>
      </c>
      <c r="I4" s="36"/>
      <c r="J4" s="8" t="s">
        <v>108</v>
      </c>
    </row>
    <row r="5" spans="2:10" ht="18.899999999999999" customHeight="1" x14ac:dyDescent="0.3">
      <c r="B5" s="28" t="s">
        <v>1</v>
      </c>
      <c r="C5" s="28"/>
      <c r="D5" s="27" t="s">
        <v>25</v>
      </c>
      <c r="E5" s="27"/>
      <c r="F5" s="27"/>
      <c r="G5" s="27"/>
      <c r="H5" s="27"/>
      <c r="I5" s="27"/>
      <c r="J5" s="27"/>
    </row>
    <row r="6" spans="2:10" ht="30.9" customHeight="1" x14ac:dyDescent="0.35">
      <c r="B6" s="31" t="s">
        <v>31</v>
      </c>
      <c r="C6" s="31"/>
      <c r="D6" s="31"/>
      <c r="E6" s="31"/>
      <c r="F6" s="31"/>
      <c r="G6" s="31"/>
      <c r="H6" s="10" t="s">
        <v>2</v>
      </c>
      <c r="I6" s="32">
        <v>45708</v>
      </c>
      <c r="J6" s="33"/>
    </row>
    <row r="7" spans="2:10" ht="20.149999999999999" customHeight="1" x14ac:dyDescent="0.3">
      <c r="B7" s="34" t="s">
        <v>3</v>
      </c>
      <c r="C7" s="34"/>
      <c r="D7" s="30" t="s">
        <v>109</v>
      </c>
      <c r="E7" s="30"/>
      <c r="F7" s="30"/>
      <c r="G7" s="30"/>
      <c r="H7" s="3" t="s">
        <v>17</v>
      </c>
      <c r="I7" s="32">
        <v>45700</v>
      </c>
      <c r="J7" s="33"/>
    </row>
    <row r="8" spans="2:10" ht="18.899999999999999" customHeight="1" x14ac:dyDescent="0.3">
      <c r="B8" s="28" t="s">
        <v>5</v>
      </c>
      <c r="C8" s="28"/>
      <c r="D8" s="27" t="s">
        <v>109</v>
      </c>
      <c r="E8" s="27"/>
      <c r="F8" s="27"/>
      <c r="G8" s="27"/>
      <c r="H8" s="27"/>
      <c r="I8" s="27"/>
      <c r="J8" s="27"/>
    </row>
    <row r="9" spans="2:10" ht="20.399999999999999" customHeight="1" x14ac:dyDescent="0.3">
      <c r="B9" s="28" t="s">
        <v>4</v>
      </c>
      <c r="C9" s="28"/>
      <c r="D9" s="28"/>
      <c r="E9" s="28"/>
      <c r="F9" s="28"/>
      <c r="G9" s="28"/>
      <c r="H9" s="28"/>
      <c r="I9" s="28"/>
      <c r="J9" s="28"/>
    </row>
    <row r="10" spans="2:10" ht="30" x14ac:dyDescent="0.3">
      <c r="B10" s="2" t="s">
        <v>11</v>
      </c>
      <c r="C10" s="29" t="s">
        <v>6</v>
      </c>
      <c r="D10" s="29"/>
      <c r="E10" s="29"/>
      <c r="F10" s="3" t="s">
        <v>7</v>
      </c>
      <c r="G10" s="15" t="s">
        <v>8</v>
      </c>
      <c r="H10" s="15" t="s">
        <v>9</v>
      </c>
      <c r="I10" s="2" t="s">
        <v>21</v>
      </c>
      <c r="J10" s="13" t="s">
        <v>10</v>
      </c>
    </row>
    <row r="11" spans="2:10" ht="15.5" x14ac:dyDescent="0.3">
      <c r="B11" s="4">
        <v>1</v>
      </c>
      <c r="C11" s="30" t="s">
        <v>57</v>
      </c>
      <c r="D11" s="30"/>
      <c r="E11" s="30"/>
      <c r="F11" s="5">
        <v>1</v>
      </c>
      <c r="G11" s="16">
        <v>7911.68</v>
      </c>
      <c r="H11" s="4" t="s">
        <v>30</v>
      </c>
      <c r="I11" s="17">
        <v>22</v>
      </c>
      <c r="J11" s="6">
        <f>G11*I11</f>
        <v>174056.96000000002</v>
      </c>
    </row>
    <row r="12" spans="2:10" ht="15.5" x14ac:dyDescent="0.3">
      <c r="B12" s="4">
        <v>2</v>
      </c>
      <c r="C12" s="30" t="s">
        <v>110</v>
      </c>
      <c r="D12" s="30"/>
      <c r="E12" s="30"/>
      <c r="F12" s="5">
        <v>1</v>
      </c>
      <c r="G12" s="16">
        <v>187</v>
      </c>
      <c r="H12" s="4" t="s">
        <v>111</v>
      </c>
      <c r="I12" s="17">
        <v>600</v>
      </c>
      <c r="J12" s="6">
        <f>G12*I12</f>
        <v>112200</v>
      </c>
    </row>
    <row r="13" spans="2:10" ht="15.5" x14ac:dyDescent="0.3">
      <c r="B13" s="4">
        <v>3</v>
      </c>
      <c r="C13" s="30" t="s">
        <v>112</v>
      </c>
      <c r="D13" s="30"/>
      <c r="E13" s="30"/>
      <c r="F13" s="5">
        <v>1</v>
      </c>
      <c r="G13" s="16">
        <v>1961.38</v>
      </c>
      <c r="H13" s="4" t="s">
        <v>30</v>
      </c>
      <c r="I13" s="17">
        <v>40</v>
      </c>
      <c r="J13" s="6">
        <f>G13*I13</f>
        <v>78455.200000000012</v>
      </c>
    </row>
    <row r="14" spans="2:10" ht="15.5" x14ac:dyDescent="0.3">
      <c r="B14" s="4">
        <v>4</v>
      </c>
      <c r="C14" s="30" t="s">
        <v>100</v>
      </c>
      <c r="D14" s="30"/>
      <c r="E14" s="30"/>
      <c r="F14" s="5">
        <v>1</v>
      </c>
      <c r="G14" s="16">
        <v>8661.23</v>
      </c>
      <c r="H14" s="4" t="s">
        <v>30</v>
      </c>
      <c r="I14" s="17">
        <v>70</v>
      </c>
      <c r="J14" s="6">
        <f>G14*I14</f>
        <v>606286.1</v>
      </c>
    </row>
    <row r="15" spans="2:10" ht="17.399999999999999" customHeight="1" x14ac:dyDescent="0.35">
      <c r="B15" s="14"/>
      <c r="C15" s="23" t="s">
        <v>18</v>
      </c>
      <c r="D15" s="23"/>
      <c r="E15" s="23"/>
      <c r="F15" s="23"/>
      <c r="G15" s="23"/>
      <c r="H15" s="23"/>
      <c r="I15" s="23"/>
      <c r="J15" s="7">
        <f>SUM(J11:J14)</f>
        <v>970998.26</v>
      </c>
    </row>
    <row r="16" spans="2:10" ht="17.399999999999999" customHeight="1" x14ac:dyDescent="0.35">
      <c r="B16" s="14"/>
      <c r="C16" s="24" t="s">
        <v>23</v>
      </c>
      <c r="D16" s="24"/>
      <c r="E16" s="24"/>
      <c r="F16" s="24"/>
      <c r="G16" s="24"/>
      <c r="H16" s="24"/>
      <c r="I16" s="24"/>
      <c r="J16" s="7">
        <f>J15*18%</f>
        <v>174779.6868</v>
      </c>
    </row>
    <row r="17" spans="2:12" ht="15.5" x14ac:dyDescent="0.35">
      <c r="B17" s="14"/>
      <c r="C17" s="24"/>
      <c r="D17" s="24"/>
      <c r="E17" s="24"/>
      <c r="F17" s="24"/>
      <c r="G17" s="24"/>
      <c r="H17" s="24"/>
      <c r="I17" s="24"/>
      <c r="J17" s="7"/>
    </row>
    <row r="18" spans="2:12" ht="15.5" x14ac:dyDescent="0.35">
      <c r="B18" s="14"/>
      <c r="C18" s="13"/>
      <c r="D18" s="13"/>
      <c r="E18" s="13"/>
      <c r="F18" s="13"/>
      <c r="G18" s="13"/>
      <c r="H18" s="13"/>
      <c r="I18" s="13"/>
      <c r="J18" s="18">
        <f>J15+J16+J17-1</f>
        <v>1145776.9468</v>
      </c>
    </row>
    <row r="19" spans="2:12" ht="14" customHeight="1" x14ac:dyDescent="0.35">
      <c r="B19" s="8"/>
      <c r="C19" s="25" t="s">
        <v>113</v>
      </c>
      <c r="D19" s="25"/>
      <c r="E19" s="25"/>
      <c r="F19" s="25"/>
      <c r="G19" s="25"/>
      <c r="H19" s="25"/>
      <c r="I19" s="25"/>
      <c r="J19" s="25"/>
    </row>
    <row r="20" spans="2:12" ht="15.5" x14ac:dyDescent="0.35">
      <c r="B20" s="14"/>
      <c r="C20" s="26" t="s">
        <v>12</v>
      </c>
      <c r="D20" s="26"/>
      <c r="E20" s="26"/>
      <c r="F20" s="8"/>
      <c r="G20" s="8"/>
      <c r="H20" s="8"/>
      <c r="I20" s="8"/>
      <c r="J20" s="9">
        <v>0</v>
      </c>
    </row>
    <row r="21" spans="2:12" ht="15.5" x14ac:dyDescent="0.35">
      <c r="B21" s="14"/>
      <c r="C21" s="26" t="s">
        <v>20</v>
      </c>
      <c r="D21" s="26"/>
      <c r="E21" s="26"/>
      <c r="F21" s="8"/>
      <c r="G21" s="8"/>
      <c r="H21" s="8"/>
      <c r="I21" s="8"/>
      <c r="J21" s="9"/>
      <c r="L21" s="11"/>
    </row>
    <row r="22" spans="2:12" ht="14" customHeight="1" x14ac:dyDescent="0.35">
      <c r="B22" s="14"/>
      <c r="C22" s="26" t="s">
        <v>13</v>
      </c>
      <c r="D22" s="26"/>
      <c r="E22" s="26"/>
      <c r="F22" s="8"/>
      <c r="G22" s="8" t="s">
        <v>19</v>
      </c>
      <c r="H22" s="8"/>
      <c r="I22" s="8"/>
      <c r="J22" s="19"/>
    </row>
    <row r="23" spans="2:12" ht="14" customHeight="1" x14ac:dyDescent="0.35">
      <c r="B23" s="8"/>
      <c r="C23" s="26"/>
      <c r="D23" s="26"/>
      <c r="E23" s="26"/>
      <c r="F23" s="8"/>
      <c r="G23" s="8"/>
      <c r="H23" s="8"/>
      <c r="I23" s="8"/>
      <c r="J23" s="8"/>
    </row>
    <row r="24" spans="2:12" ht="14" customHeight="1" x14ac:dyDescent="0.3">
      <c r="B24" s="27" t="s">
        <v>14</v>
      </c>
      <c r="C24" s="27"/>
      <c r="D24" s="27"/>
      <c r="E24" s="27"/>
      <c r="F24" s="27"/>
      <c r="G24" s="27"/>
      <c r="H24" s="27"/>
      <c r="I24" s="27"/>
      <c r="J24" s="27"/>
    </row>
    <row r="25" spans="2:12" x14ac:dyDescent="0.3">
      <c r="B25" s="27"/>
      <c r="C25" s="27"/>
      <c r="D25" s="27"/>
      <c r="E25" s="27"/>
      <c r="F25" s="27"/>
      <c r="G25" s="27"/>
      <c r="H25" s="27"/>
      <c r="I25" s="27"/>
      <c r="J25" s="27"/>
    </row>
    <row r="26" spans="2:12" x14ac:dyDescent="0.3">
      <c r="B26" s="27"/>
      <c r="C26" s="27"/>
      <c r="D26" s="27"/>
      <c r="E26" s="27"/>
      <c r="F26" s="27"/>
      <c r="G26" s="27"/>
      <c r="H26" s="27"/>
      <c r="I26" s="27"/>
      <c r="J26" s="27"/>
    </row>
    <row r="27" spans="2:12" ht="14.15" customHeight="1" x14ac:dyDescent="0.3"/>
    <row r="28" spans="2:12" ht="14.15" customHeight="1" x14ac:dyDescent="0.3"/>
    <row r="29" spans="2:12" ht="14" customHeight="1" x14ac:dyDescent="0.3">
      <c r="B29" s="28" t="s">
        <v>15</v>
      </c>
      <c r="C29" s="28"/>
      <c r="D29" s="28"/>
      <c r="E29" s="28"/>
      <c r="F29" s="28"/>
      <c r="G29" s="28"/>
      <c r="H29" s="28"/>
      <c r="I29" s="28"/>
      <c r="J29" s="28"/>
    </row>
    <row r="30" spans="2:12" ht="14" customHeight="1" x14ac:dyDescent="0.3">
      <c r="B30" s="28"/>
      <c r="C30" s="28"/>
      <c r="D30" s="28"/>
      <c r="E30" s="28"/>
      <c r="F30" s="28"/>
      <c r="G30" s="28"/>
      <c r="H30" s="28"/>
      <c r="I30" s="28"/>
      <c r="J30" s="28"/>
    </row>
    <row r="31" spans="2:12" x14ac:dyDescent="0.3">
      <c r="B31" s="29"/>
      <c r="C31" s="29"/>
      <c r="D31" s="29"/>
      <c r="E31" s="29"/>
      <c r="F31" s="29"/>
      <c r="G31" s="29"/>
      <c r="H31" s="29"/>
      <c r="I31" s="29"/>
      <c r="J31" s="29"/>
    </row>
    <row r="32" spans="2:12" x14ac:dyDescent="0.3">
      <c r="B32" s="29"/>
      <c r="C32" s="29"/>
      <c r="D32" s="29"/>
      <c r="E32" s="29"/>
      <c r="F32" s="29"/>
      <c r="G32" s="29"/>
      <c r="H32" s="29"/>
      <c r="I32" s="29"/>
      <c r="J32" s="29"/>
    </row>
    <row r="33" spans="2:10" ht="15" x14ac:dyDescent="0.3">
      <c r="B33" s="22" t="s">
        <v>83</v>
      </c>
      <c r="C33" s="22"/>
      <c r="D33" s="22"/>
      <c r="E33" s="22"/>
      <c r="F33" s="22"/>
      <c r="G33" s="22"/>
      <c r="H33" s="22"/>
      <c r="I33" s="22"/>
      <c r="J33" s="22"/>
    </row>
  </sheetData>
  <mergeCells count="31"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  <mergeCell ref="B9:J9"/>
    <mergeCell ref="C10:E10"/>
    <mergeCell ref="C14:E14"/>
    <mergeCell ref="C15:I15"/>
    <mergeCell ref="C16:I16"/>
    <mergeCell ref="B29:J30"/>
    <mergeCell ref="B31:J32"/>
    <mergeCell ref="B33:J33"/>
    <mergeCell ref="C11:E11"/>
    <mergeCell ref="C12:E12"/>
    <mergeCell ref="C13:E13"/>
    <mergeCell ref="C19:J19"/>
    <mergeCell ref="C20:E20"/>
    <mergeCell ref="C21:E21"/>
    <mergeCell ref="C22:E22"/>
    <mergeCell ref="C23:E23"/>
    <mergeCell ref="B24:J26"/>
    <mergeCell ref="C17:I17"/>
  </mergeCells>
  <pageMargins left="0.7" right="0.7" top="0.75" bottom="0.75" header="0.3" footer="0.3"/>
  <pageSetup paperSize="9" scale="7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D8175-0020-451D-84DD-6B315915DCA9}">
  <sheetPr>
    <pageSetUpPr fitToPage="1"/>
  </sheetPr>
  <dimension ref="B2:L35"/>
  <sheetViews>
    <sheetView topLeftCell="A4" zoomScale="85" zoomScaleNormal="85" workbookViewId="0">
      <selection activeCell="E38" sqref="E38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4.542968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0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0" ht="15.65" customHeight="1" x14ac:dyDescent="0.35">
      <c r="B4" s="22" t="s">
        <v>16</v>
      </c>
      <c r="C4" s="22"/>
      <c r="D4" s="26" t="s">
        <v>24</v>
      </c>
      <c r="E4" s="26"/>
      <c r="F4" s="26"/>
      <c r="G4" s="26"/>
      <c r="H4" s="36" t="s">
        <v>22</v>
      </c>
      <c r="I4" s="36"/>
      <c r="J4" s="8" t="s">
        <v>114</v>
      </c>
    </row>
    <row r="5" spans="2:10" ht="18.899999999999999" customHeight="1" x14ac:dyDescent="0.3">
      <c r="B5" s="28" t="s">
        <v>1</v>
      </c>
      <c r="C5" s="28"/>
      <c r="D5" s="27" t="s">
        <v>25</v>
      </c>
      <c r="E5" s="27"/>
      <c r="F5" s="27"/>
      <c r="G5" s="27"/>
      <c r="H5" s="27"/>
      <c r="I5" s="27"/>
      <c r="J5" s="27"/>
    </row>
    <row r="6" spans="2:10" ht="30.9" customHeight="1" x14ac:dyDescent="0.35">
      <c r="B6" s="31" t="s">
        <v>31</v>
      </c>
      <c r="C6" s="31"/>
      <c r="D6" s="31"/>
      <c r="E6" s="31"/>
      <c r="F6" s="31"/>
      <c r="G6" s="31"/>
      <c r="H6" s="10" t="s">
        <v>2</v>
      </c>
      <c r="I6" s="32">
        <v>45770</v>
      </c>
      <c r="J6" s="33"/>
    </row>
    <row r="7" spans="2:10" ht="20.149999999999999" customHeight="1" x14ac:dyDescent="0.3">
      <c r="B7" s="34" t="s">
        <v>3</v>
      </c>
      <c r="C7" s="34"/>
      <c r="D7" s="30" t="s">
        <v>109</v>
      </c>
      <c r="E7" s="30"/>
      <c r="F7" s="30"/>
      <c r="G7" s="30"/>
      <c r="H7" s="3" t="s">
        <v>17</v>
      </c>
      <c r="I7" s="32">
        <v>45764</v>
      </c>
      <c r="J7" s="33"/>
    </row>
    <row r="8" spans="2:10" ht="18.899999999999999" customHeight="1" x14ac:dyDescent="0.3">
      <c r="B8" s="28" t="s">
        <v>5</v>
      </c>
      <c r="C8" s="28"/>
      <c r="D8" s="27" t="s">
        <v>109</v>
      </c>
      <c r="E8" s="27"/>
      <c r="F8" s="27"/>
      <c r="G8" s="27"/>
      <c r="H8" s="27"/>
      <c r="I8" s="27"/>
      <c r="J8" s="27"/>
    </row>
    <row r="9" spans="2:10" ht="20.399999999999999" customHeight="1" x14ac:dyDescent="0.3">
      <c r="B9" s="28" t="s">
        <v>4</v>
      </c>
      <c r="C9" s="28"/>
      <c r="D9" s="28"/>
      <c r="E9" s="28"/>
      <c r="F9" s="28"/>
      <c r="G9" s="28"/>
      <c r="H9" s="28"/>
      <c r="I9" s="28"/>
      <c r="J9" s="28"/>
    </row>
    <row r="10" spans="2:10" ht="30" x14ac:dyDescent="0.3">
      <c r="B10" s="2" t="s">
        <v>11</v>
      </c>
      <c r="C10" s="29" t="s">
        <v>6</v>
      </c>
      <c r="D10" s="29"/>
      <c r="E10" s="29"/>
      <c r="F10" s="3" t="s">
        <v>7</v>
      </c>
      <c r="G10" s="15" t="s">
        <v>8</v>
      </c>
      <c r="H10" s="15" t="s">
        <v>9</v>
      </c>
      <c r="I10" s="2" t="s">
        <v>21</v>
      </c>
      <c r="J10" s="13" t="s">
        <v>10</v>
      </c>
    </row>
    <row r="11" spans="2:10" ht="15.5" x14ac:dyDescent="0.3">
      <c r="B11" s="4">
        <v>1</v>
      </c>
      <c r="C11" s="30" t="s">
        <v>57</v>
      </c>
      <c r="D11" s="30"/>
      <c r="E11" s="30"/>
      <c r="F11" s="5">
        <v>1</v>
      </c>
      <c r="G11" s="16">
        <v>4585.21</v>
      </c>
      <c r="H11" s="4" t="s">
        <v>30</v>
      </c>
      <c r="I11" s="17">
        <v>22</v>
      </c>
      <c r="J11" s="6">
        <f t="shared" ref="J11:J16" si="0">G11*I11</f>
        <v>100874.62</v>
      </c>
    </row>
    <row r="12" spans="2:10" ht="15.5" x14ac:dyDescent="0.3">
      <c r="B12" s="4">
        <v>2</v>
      </c>
      <c r="C12" s="30" t="s">
        <v>112</v>
      </c>
      <c r="D12" s="30"/>
      <c r="E12" s="30"/>
      <c r="F12" s="5">
        <v>1</v>
      </c>
      <c r="G12" s="16">
        <v>3893.28</v>
      </c>
      <c r="H12" s="4" t="s">
        <v>30</v>
      </c>
      <c r="I12" s="17">
        <v>40</v>
      </c>
      <c r="J12" s="6">
        <f t="shared" si="0"/>
        <v>155731.20000000001</v>
      </c>
    </row>
    <row r="13" spans="2:10" ht="15.5" x14ac:dyDescent="0.3">
      <c r="B13" s="4">
        <v>3</v>
      </c>
      <c r="C13" s="30" t="s">
        <v>115</v>
      </c>
      <c r="D13" s="30"/>
      <c r="E13" s="30"/>
      <c r="F13" s="5">
        <v>1</v>
      </c>
      <c r="G13" s="16">
        <v>4456.17</v>
      </c>
      <c r="H13" s="4" t="s">
        <v>30</v>
      </c>
      <c r="I13" s="17">
        <v>70</v>
      </c>
      <c r="J13" s="6">
        <f t="shared" si="0"/>
        <v>311931.90000000002</v>
      </c>
    </row>
    <row r="14" spans="2:10" ht="15.5" x14ac:dyDescent="0.3">
      <c r="B14" s="4">
        <v>4</v>
      </c>
      <c r="C14" s="30" t="s">
        <v>116</v>
      </c>
      <c r="D14" s="30"/>
      <c r="E14" s="30"/>
      <c r="F14" s="5">
        <v>1</v>
      </c>
      <c r="G14" s="16">
        <v>54.88</v>
      </c>
      <c r="H14" s="4" t="s">
        <v>35</v>
      </c>
      <c r="I14" s="17">
        <v>2200</v>
      </c>
      <c r="J14" s="6">
        <f t="shared" si="0"/>
        <v>120736</v>
      </c>
    </row>
    <row r="15" spans="2:10" ht="15.5" x14ac:dyDescent="0.3">
      <c r="B15" s="4">
        <v>5</v>
      </c>
      <c r="C15" s="30" t="s">
        <v>117</v>
      </c>
      <c r="D15" s="30"/>
      <c r="E15" s="30"/>
      <c r="F15" s="5">
        <v>1</v>
      </c>
      <c r="G15" s="16">
        <v>7337.74</v>
      </c>
      <c r="H15" s="4" t="s">
        <v>30</v>
      </c>
      <c r="I15" s="17">
        <v>7</v>
      </c>
      <c r="J15" s="6">
        <f t="shared" si="0"/>
        <v>51364.18</v>
      </c>
    </row>
    <row r="16" spans="2:10" ht="15.5" x14ac:dyDescent="0.3">
      <c r="B16" s="4">
        <v>6</v>
      </c>
      <c r="C16" s="30" t="s">
        <v>118</v>
      </c>
      <c r="D16" s="30"/>
      <c r="E16" s="30"/>
      <c r="F16" s="5">
        <v>1</v>
      </c>
      <c r="G16" s="16">
        <v>7760.46</v>
      </c>
      <c r="H16" s="4" t="s">
        <v>30</v>
      </c>
      <c r="I16" s="17">
        <v>35</v>
      </c>
      <c r="J16" s="6">
        <f t="shared" si="0"/>
        <v>271616.09999999998</v>
      </c>
    </row>
    <row r="17" spans="2:12" ht="17.399999999999999" customHeight="1" x14ac:dyDescent="0.35">
      <c r="B17" s="14"/>
      <c r="C17" s="23" t="s">
        <v>18</v>
      </c>
      <c r="D17" s="23"/>
      <c r="E17" s="23"/>
      <c r="F17" s="23"/>
      <c r="G17" s="23"/>
      <c r="H17" s="23"/>
      <c r="I17" s="23"/>
      <c r="J17" s="7">
        <f>SUM(J11:J16)</f>
        <v>1012254</v>
      </c>
    </row>
    <row r="18" spans="2:12" ht="17.399999999999999" customHeight="1" x14ac:dyDescent="0.35">
      <c r="B18" s="14"/>
      <c r="C18" s="24" t="s">
        <v>23</v>
      </c>
      <c r="D18" s="24"/>
      <c r="E18" s="24"/>
      <c r="F18" s="24"/>
      <c r="G18" s="24"/>
      <c r="H18" s="24"/>
      <c r="I18" s="24"/>
      <c r="J18" s="7">
        <f>J17*18%</f>
        <v>182205.72</v>
      </c>
    </row>
    <row r="19" spans="2:12" ht="15.5" x14ac:dyDescent="0.35">
      <c r="B19" s="14"/>
      <c r="C19" s="24"/>
      <c r="D19" s="24"/>
      <c r="E19" s="24"/>
      <c r="F19" s="24"/>
      <c r="G19" s="24"/>
      <c r="H19" s="24"/>
      <c r="I19" s="24"/>
      <c r="J19" s="7"/>
    </row>
    <row r="20" spans="2:12" ht="15.5" x14ac:dyDescent="0.35">
      <c r="B20" s="14"/>
      <c r="C20" s="13"/>
      <c r="D20" s="13"/>
      <c r="E20" s="13"/>
      <c r="F20" s="13"/>
      <c r="G20" s="13"/>
      <c r="H20" s="13"/>
      <c r="I20" s="13"/>
      <c r="J20" s="18">
        <f>J17+J18+J19-1</f>
        <v>1194458.72</v>
      </c>
    </row>
    <row r="21" spans="2:12" ht="14" customHeight="1" x14ac:dyDescent="0.35">
      <c r="B21" s="8"/>
      <c r="C21" s="25" t="s">
        <v>119</v>
      </c>
      <c r="D21" s="25"/>
      <c r="E21" s="25"/>
      <c r="F21" s="25"/>
      <c r="G21" s="25"/>
      <c r="H21" s="25"/>
      <c r="I21" s="25"/>
      <c r="J21" s="25"/>
    </row>
    <row r="22" spans="2:12" ht="15.5" x14ac:dyDescent="0.35">
      <c r="B22" s="14"/>
      <c r="C22" s="26" t="s">
        <v>12</v>
      </c>
      <c r="D22" s="26"/>
      <c r="E22" s="26"/>
      <c r="F22" s="8"/>
      <c r="G22" s="8"/>
      <c r="H22" s="8"/>
      <c r="I22" s="8"/>
      <c r="J22" s="9">
        <v>0</v>
      </c>
    </row>
    <row r="23" spans="2:12" ht="15.5" x14ac:dyDescent="0.35">
      <c r="B23" s="14"/>
      <c r="C23" s="26" t="s">
        <v>20</v>
      </c>
      <c r="D23" s="26"/>
      <c r="E23" s="26"/>
      <c r="F23" s="8"/>
      <c r="G23" s="8"/>
      <c r="H23" s="8"/>
      <c r="I23" s="8"/>
      <c r="J23" s="9"/>
      <c r="L23" s="11"/>
    </row>
    <row r="24" spans="2:12" ht="14" customHeight="1" x14ac:dyDescent="0.35">
      <c r="B24" s="14"/>
      <c r="C24" s="26" t="s">
        <v>13</v>
      </c>
      <c r="D24" s="26"/>
      <c r="E24" s="26"/>
      <c r="F24" s="8"/>
      <c r="G24" s="8" t="s">
        <v>19</v>
      </c>
      <c r="H24" s="8"/>
      <c r="I24" s="8"/>
      <c r="J24" s="19"/>
    </row>
    <row r="25" spans="2:12" ht="14" customHeight="1" x14ac:dyDescent="0.35">
      <c r="B25" s="8"/>
      <c r="C25" s="26"/>
      <c r="D25" s="26"/>
      <c r="E25" s="26"/>
      <c r="F25" s="8"/>
      <c r="G25" s="8"/>
      <c r="H25" s="8"/>
      <c r="I25" s="8"/>
      <c r="J25" s="8"/>
    </row>
    <row r="26" spans="2:12" ht="14" customHeight="1" x14ac:dyDescent="0.3">
      <c r="B26" s="27" t="s">
        <v>14</v>
      </c>
      <c r="C26" s="27"/>
      <c r="D26" s="27"/>
      <c r="E26" s="27"/>
      <c r="F26" s="27"/>
      <c r="G26" s="27"/>
      <c r="H26" s="27"/>
      <c r="I26" s="27"/>
      <c r="J26" s="27"/>
    </row>
    <row r="27" spans="2:12" x14ac:dyDescent="0.3">
      <c r="B27" s="27"/>
      <c r="C27" s="27"/>
      <c r="D27" s="27"/>
      <c r="E27" s="27"/>
      <c r="F27" s="27"/>
      <c r="G27" s="27"/>
      <c r="H27" s="27"/>
      <c r="I27" s="27"/>
      <c r="J27" s="27"/>
    </row>
    <row r="28" spans="2:12" x14ac:dyDescent="0.3">
      <c r="B28" s="27"/>
      <c r="C28" s="27"/>
      <c r="D28" s="27"/>
      <c r="E28" s="27"/>
      <c r="F28" s="27"/>
      <c r="G28" s="27"/>
      <c r="H28" s="27"/>
      <c r="I28" s="27"/>
      <c r="J28" s="27"/>
    </row>
    <row r="29" spans="2:12" ht="14.15" customHeight="1" x14ac:dyDescent="0.3"/>
    <row r="30" spans="2:12" ht="14.15" customHeight="1" x14ac:dyDescent="0.3"/>
    <row r="31" spans="2:12" ht="14" customHeight="1" x14ac:dyDescent="0.3">
      <c r="B31" s="28" t="s">
        <v>15</v>
      </c>
      <c r="C31" s="28"/>
      <c r="D31" s="28"/>
      <c r="E31" s="28"/>
      <c r="F31" s="28"/>
      <c r="G31" s="28"/>
      <c r="H31" s="28"/>
      <c r="I31" s="28"/>
      <c r="J31" s="28"/>
    </row>
    <row r="32" spans="2:12" ht="14" customHeight="1" x14ac:dyDescent="0.3">
      <c r="B32" s="28"/>
      <c r="C32" s="28"/>
      <c r="D32" s="28"/>
      <c r="E32" s="28"/>
      <c r="F32" s="28"/>
      <c r="G32" s="28"/>
      <c r="H32" s="28"/>
      <c r="I32" s="28"/>
      <c r="J32" s="28"/>
    </row>
    <row r="33" spans="2:10" x14ac:dyDescent="0.3">
      <c r="B33" s="29"/>
      <c r="C33" s="29"/>
      <c r="D33" s="29"/>
      <c r="E33" s="29"/>
      <c r="F33" s="29"/>
      <c r="G33" s="29"/>
      <c r="H33" s="29"/>
      <c r="I33" s="29"/>
      <c r="J33" s="29"/>
    </row>
    <row r="34" spans="2:10" x14ac:dyDescent="0.3">
      <c r="B34" s="29"/>
      <c r="C34" s="29"/>
      <c r="D34" s="29"/>
      <c r="E34" s="29"/>
      <c r="F34" s="29"/>
      <c r="G34" s="29"/>
      <c r="H34" s="29"/>
      <c r="I34" s="29"/>
      <c r="J34" s="29"/>
    </row>
    <row r="35" spans="2:10" ht="15" x14ac:dyDescent="0.3">
      <c r="B35" s="22" t="s">
        <v>83</v>
      </c>
      <c r="C35" s="22"/>
      <c r="D35" s="22"/>
      <c r="E35" s="22"/>
      <c r="F35" s="22"/>
      <c r="G35" s="22"/>
      <c r="H35" s="22"/>
      <c r="I35" s="22"/>
      <c r="J35" s="22"/>
    </row>
  </sheetData>
  <mergeCells count="33">
    <mergeCell ref="B2:J2"/>
    <mergeCell ref="B4:C4"/>
    <mergeCell ref="D4:G4"/>
    <mergeCell ref="H4:I4"/>
    <mergeCell ref="B5:C5"/>
    <mergeCell ref="D5:J5"/>
    <mergeCell ref="C16:E16"/>
    <mergeCell ref="C13:E13"/>
    <mergeCell ref="C14:E14"/>
    <mergeCell ref="B6:G6"/>
    <mergeCell ref="I6:J6"/>
    <mergeCell ref="B7:C7"/>
    <mergeCell ref="D7:G7"/>
    <mergeCell ref="I7:J7"/>
    <mergeCell ref="B8:C8"/>
    <mergeCell ref="D8:J8"/>
    <mergeCell ref="B9:J9"/>
    <mergeCell ref="C10:E10"/>
    <mergeCell ref="C11:E11"/>
    <mergeCell ref="C12:E12"/>
    <mergeCell ref="C15:E15"/>
    <mergeCell ref="B35:J35"/>
    <mergeCell ref="C17:I17"/>
    <mergeCell ref="C18:I18"/>
    <mergeCell ref="C19:I19"/>
    <mergeCell ref="C21:J21"/>
    <mergeCell ref="C22:E22"/>
    <mergeCell ref="C23:E23"/>
    <mergeCell ref="C24:E24"/>
    <mergeCell ref="C25:E25"/>
    <mergeCell ref="B26:J28"/>
    <mergeCell ref="B31:J32"/>
    <mergeCell ref="B33:J34"/>
  </mergeCells>
  <pageMargins left="0.7" right="0.7" top="0.75" bottom="0.75" header="0.3" footer="0.3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1</vt:lpstr>
      <vt:lpstr>2</vt:lpstr>
      <vt:lpstr>3</vt:lpstr>
      <vt:lpstr>4</vt:lpstr>
      <vt:lpstr>6</vt:lpstr>
      <vt:lpstr>7</vt:lpstr>
      <vt:lpstr>8</vt:lpstr>
      <vt:lpstr>9</vt:lpstr>
      <vt:lpstr>10</vt:lpstr>
      <vt:lpstr>11</vt:lpstr>
      <vt:lpstr>12</vt:lpstr>
      <vt:lpstr>13</vt:lpstr>
      <vt:lpstr>13-1</vt:lpstr>
      <vt:lpstr>14</vt:lpstr>
      <vt:lpstr>15</vt:lpstr>
      <vt:lpstr>16</vt:lpstr>
      <vt:lpstr>17</vt:lpstr>
      <vt:lpstr>18</vt:lpstr>
      <vt:lpstr>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2025-02-20T11:26:01Z</cp:lastPrinted>
  <dcterms:created xsi:type="dcterms:W3CDTF">2017-06-28T08:31:23Z</dcterms:created>
  <dcterms:modified xsi:type="dcterms:W3CDTF">2026-07-21T11:47:35Z</dcterms:modified>
</cp:coreProperties>
</file>