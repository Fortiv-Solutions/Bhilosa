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0AEAEEC6-06FB-467B-AB6F-A56B9EA38CEA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Bill-1" sheetId="5" r:id="rId1"/>
    <sheet name="Bill-2" sheetId="6" r:id="rId2"/>
    <sheet name="Bill-3" sheetId="7" r:id="rId3"/>
    <sheet name="Bill-4" sheetId="8" r:id="rId4"/>
    <sheet name="Bill-5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" i="9" l="1"/>
  <c r="M16" i="9"/>
  <c r="M14" i="9"/>
  <c r="M13" i="9"/>
  <c r="M12" i="9"/>
  <c r="M11" i="9"/>
  <c r="O12" i="6"/>
  <c r="O11" i="6"/>
  <c r="M19" i="9"/>
  <c r="M18" i="9"/>
  <c r="M17" i="9"/>
  <c r="M15" i="9"/>
  <c r="M15" i="8"/>
  <c r="M12" i="8"/>
  <c r="M11" i="8"/>
  <c r="M14" i="8"/>
  <c r="M13" i="8"/>
  <c r="M12" i="7"/>
  <c r="M11" i="7"/>
  <c r="M13" i="7" s="1"/>
  <c r="M17" i="7" s="1"/>
  <c r="M21" i="7" s="1"/>
  <c r="M14" i="6"/>
  <c r="M13" i="6"/>
  <c r="M12" i="6"/>
  <c r="M11" i="6"/>
  <c r="M21" i="5"/>
  <c r="M14" i="5"/>
  <c r="M13" i="5"/>
  <c r="M16" i="5"/>
  <c r="M15" i="5"/>
  <c r="M12" i="5"/>
  <c r="M11" i="5"/>
  <c r="M19" i="5"/>
  <c r="M18" i="5"/>
  <c r="M20" i="5"/>
  <c r="M17" i="5"/>
  <c r="M24" i="9" l="1"/>
  <c r="M28" i="9" s="1"/>
  <c r="M19" i="8"/>
  <c r="M23" i="8" s="1"/>
  <c r="M15" i="6"/>
  <c r="M19" i="6" s="1"/>
  <c r="M23" i="6" s="1"/>
  <c r="M25" i="5"/>
  <c r="M29" i="5" s="1"/>
</calcChain>
</file>

<file path=xl/sharedStrings.xml><?xml version="1.0" encoding="utf-8"?>
<sst xmlns="http://schemas.openxmlformats.org/spreadsheetml/2006/main" count="208" uniqueCount="63">
  <si>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</si>
  <si>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</si>
  <si>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</si>
  <si>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</si>
  <si>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</si>
  <si>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</si>
  <si>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</si>
  <si>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</si>
  <si>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</si>
  <si>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</si>
  <si>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Rate</t>
  </si>
  <si>
    <t>Amount</t>
  </si>
  <si>
    <t>Sr.
No.</t>
  </si>
  <si>
    <t xml:space="preserve">Advance Payment </t>
  </si>
  <si>
    <t>Balance Payment to be paid</t>
  </si>
  <si>
    <t xml:space="preserve">Approved By - </t>
  </si>
  <si>
    <t xml:space="preserve">Company Name </t>
  </si>
  <si>
    <t>Bill Date</t>
  </si>
  <si>
    <t xml:space="preserve">Total Bill Amount </t>
  </si>
  <si>
    <t>Invoice No.</t>
  </si>
  <si>
    <t>Central GST 9%</t>
  </si>
  <si>
    <t>State GST 9%</t>
  </si>
  <si>
    <t>Retention 5%</t>
  </si>
  <si>
    <t>Debit</t>
  </si>
  <si>
    <t>To, 
Tanvi Infracon</t>
  </si>
  <si>
    <t>Sq.ft.</t>
  </si>
  <si>
    <t>Hiren M. Chavda</t>
  </si>
  <si>
    <t>Hirenbhai</t>
  </si>
  <si>
    <t>Compound wall and COP civil work</t>
  </si>
  <si>
    <t>Labour work</t>
  </si>
  <si>
    <t>Back Side Beam PCC work</t>
  </si>
  <si>
    <t>Orbit Side Beam PCC work</t>
  </si>
  <si>
    <t>Front Side Beam PCC work</t>
  </si>
  <si>
    <t>Back Side Beam work</t>
  </si>
  <si>
    <t>R.ft.</t>
  </si>
  <si>
    <t>Orbit Side Beam work</t>
  </si>
  <si>
    <t xml:space="preserve">Tie Beam PCC </t>
  </si>
  <si>
    <t>Tie Beam</t>
  </si>
  <si>
    <t>Back Side 9" Masonary</t>
  </si>
  <si>
    <t>Orbit Side 4.5" Masonary work</t>
  </si>
  <si>
    <t>Ninty Three Thousand Ninty Eight Only</t>
  </si>
  <si>
    <t>Back Side Masonary 9" Upper portion</t>
  </si>
  <si>
    <t>Back Side Coping</t>
  </si>
  <si>
    <t>Back Side Column</t>
  </si>
  <si>
    <t>Orbit Side Pardi</t>
  </si>
  <si>
    <t>Sixty Eight Thousand Twenty Six Only</t>
  </si>
  <si>
    <t>Front Side Pardi</t>
  </si>
  <si>
    <t>Seventy Two Thousand Six Hundred Fourty Only</t>
  </si>
  <si>
    <t>Orbit Side Coping</t>
  </si>
  <si>
    <t>Front Side Coping</t>
  </si>
  <si>
    <t>Orbit and Front Side 9" Masonary work upper portion</t>
  </si>
  <si>
    <t>Orbit and Front side Column</t>
  </si>
  <si>
    <t>Ninty Three Thousand Six Hundred Sixty Two Only</t>
  </si>
  <si>
    <t>Transformer Side Column L- Shape</t>
  </si>
  <si>
    <t>Transformer Side L Shape Coping</t>
  </si>
  <si>
    <t>Transformer Side L Shape Pardi</t>
  </si>
  <si>
    <t>Transformer Side L Shape Partition Masonary</t>
  </si>
  <si>
    <t>Transformer Side L Shape 9" Masonary</t>
  </si>
  <si>
    <t>Road Side 9" Masonary</t>
  </si>
  <si>
    <t xml:space="preserve">Road Side Out Plaster </t>
  </si>
  <si>
    <t>Beam Between Transformer Side and Wall</t>
  </si>
  <si>
    <t>Tower -D Side Infront Pardi</t>
  </si>
  <si>
    <t>Fifty Seven Thousand Five Hundred Fifty Two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</si>
</sst>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vertical="center"/>
    </xf>
    <xf numFmtId="165" fontId="5" fillId="0" borderId="0" xfId="1" applyNumberFormat="1" applyFont="1"/>
    <xf numFmtId="165" fontId="4" fillId="0" borderId="0" xfId="1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5" fontId="5" fillId="0" borderId="0" xfId="0" applyNumberFormat="1" applyFont="1"/>
    <xf numFmtId="164" fontId="4" fillId="0" borderId="0" xfId="1" applyFont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165" fontId="2" fillId="0" borderId="0" xfId="0" applyNumberFormat="1" applyFont="1"/>
    <xf numFmtId="166" fontId="4" fillId="0" borderId="0" xfId="1" applyNumberFormat="1" applyFont="1" applyAlignment="1">
      <alignment vertical="center"/>
    </xf>
    <xf numFmtId="164" fontId="4" fillId="0" borderId="0" xfId="1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E2:M41"/>
  <sheetViews>
    <sheetView topLeftCell="B13" workbookViewId="0">
      <selection activeCell="F27" sqref="F27:H27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2.453125" style="1" customWidth="1"/>
    <col min="14" max="16384" width="8.6328125" style="1"/>
  </cols>
  <sheetData>
    <row r="2" spans="5:13" ht="17.5" x14ac:dyDescent="0.35">
      <c r="E2" s="20" t="s">
        <v>0</v>
      </c>
      <c r="F2" s="20"/>
      <c r="G2" s="20"/>
      <c r="H2" s="20"/>
      <c r="I2" s="20"/>
      <c r="J2" s="20"/>
      <c r="K2" s="20"/>
      <c r="L2" s="20"/>
      <c r="M2" s="20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1" t="s">
        <v>16</v>
      </c>
      <c r="F4" s="21"/>
      <c r="G4" s="22" t="s">
        <v>26</v>
      </c>
      <c r="H4" s="22"/>
      <c r="I4" s="22"/>
      <c r="J4" s="22"/>
      <c r="K4" s="23" t="s">
        <v>19</v>
      </c>
      <c r="L4" s="23"/>
      <c r="M4" s="7">
        <v>1</v>
      </c>
    </row>
    <row r="5" spans="5:13" ht="18.899999999999999" customHeight="1" x14ac:dyDescent="0.3">
      <c r="E5" s="24" t="s">
        <v>1</v>
      </c>
      <c r="F5" s="24"/>
      <c r="G5" s="25" t="s">
        <v>27</v>
      </c>
      <c r="H5" s="25"/>
      <c r="I5" s="25"/>
      <c r="J5" s="25"/>
      <c r="K5" s="25"/>
      <c r="L5" s="25"/>
      <c r="M5" s="25"/>
    </row>
    <row r="6" spans="5:13" ht="30.9" customHeight="1" x14ac:dyDescent="0.35">
      <c r="E6" s="26" t="s">
        <v>24</v>
      </c>
      <c r="F6" s="26"/>
      <c r="G6" s="26"/>
      <c r="H6" s="26"/>
      <c r="I6" s="26"/>
      <c r="J6" s="26"/>
      <c r="K6" s="8" t="s">
        <v>2</v>
      </c>
      <c r="L6" s="27">
        <v>45776</v>
      </c>
      <c r="M6" s="28"/>
    </row>
    <row r="7" spans="5:13" ht="20.149999999999999" customHeight="1" x14ac:dyDescent="0.3">
      <c r="E7" s="29" t="s">
        <v>3</v>
      </c>
      <c r="F7" s="29"/>
      <c r="G7" s="30" t="s">
        <v>28</v>
      </c>
      <c r="H7" s="30"/>
      <c r="I7" s="30"/>
      <c r="J7" s="30"/>
      <c r="K7" s="14" t="s">
        <v>17</v>
      </c>
      <c r="L7" s="27">
        <v>45775</v>
      </c>
      <c r="M7" s="28"/>
    </row>
    <row r="8" spans="5:13" ht="18.899999999999999" customHeight="1" x14ac:dyDescent="0.3">
      <c r="E8" s="24" t="s">
        <v>5</v>
      </c>
      <c r="F8" s="24"/>
      <c r="G8" s="25" t="s">
        <v>29</v>
      </c>
      <c r="H8" s="25"/>
      <c r="I8" s="25"/>
      <c r="J8" s="25"/>
      <c r="K8" s="25"/>
      <c r="L8" s="25"/>
      <c r="M8" s="25"/>
    </row>
    <row r="9" spans="5:13" ht="20.399999999999999" customHeight="1" x14ac:dyDescent="0.3">
      <c r="E9" s="24" t="s">
        <v>4</v>
      </c>
      <c r="F9" s="24"/>
      <c r="G9" s="24"/>
      <c r="H9" s="24"/>
      <c r="I9" s="24"/>
      <c r="J9" s="24"/>
      <c r="K9" s="24"/>
      <c r="L9" s="24"/>
      <c r="M9" s="24"/>
    </row>
    <row r="10" spans="5:13" ht="30" x14ac:dyDescent="0.3">
      <c r="E10" s="2" t="s">
        <v>12</v>
      </c>
      <c r="F10" s="31" t="s">
        <v>6</v>
      </c>
      <c r="G10" s="31"/>
      <c r="H10" s="31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19.5" customHeight="1" x14ac:dyDescent="0.3">
      <c r="E11" s="4">
        <v>1</v>
      </c>
      <c r="F11" s="30" t="s">
        <v>30</v>
      </c>
      <c r="G11" s="30"/>
      <c r="H11" s="30"/>
      <c r="I11" s="5">
        <v>1</v>
      </c>
      <c r="J11" s="12">
        <v>72</v>
      </c>
      <c r="K11" s="17" t="s">
        <v>25</v>
      </c>
      <c r="L11" s="4">
        <v>29</v>
      </c>
      <c r="M11" s="9">
        <f t="shared" ref="M11:M20" si="0">J11*L11*I11</f>
        <v>2088</v>
      </c>
    </row>
    <row r="12" spans="5:13" ht="20" customHeight="1" x14ac:dyDescent="0.3">
      <c r="E12" s="4">
        <v>2</v>
      </c>
      <c r="F12" s="30" t="s">
        <v>31</v>
      </c>
      <c r="G12" s="30"/>
      <c r="H12" s="30"/>
      <c r="I12" s="5">
        <v>1</v>
      </c>
      <c r="J12" s="12">
        <v>262.5</v>
      </c>
      <c r="K12" s="17" t="s">
        <v>25</v>
      </c>
      <c r="L12" s="4">
        <v>29</v>
      </c>
      <c r="M12" s="9">
        <f t="shared" si="0"/>
        <v>7612.5</v>
      </c>
    </row>
    <row r="13" spans="5:13" ht="21.5" customHeight="1" x14ac:dyDescent="0.3">
      <c r="E13" s="4">
        <v>3</v>
      </c>
      <c r="F13" s="30" t="s">
        <v>32</v>
      </c>
      <c r="G13" s="30"/>
      <c r="H13" s="30"/>
      <c r="I13" s="5">
        <v>1</v>
      </c>
      <c r="J13" s="12">
        <v>37.130000000000003</v>
      </c>
      <c r="K13" s="17" t="s">
        <v>25</v>
      </c>
      <c r="L13" s="4">
        <v>29</v>
      </c>
      <c r="M13" s="9">
        <f t="shared" si="0"/>
        <v>1076.77</v>
      </c>
    </row>
    <row r="14" spans="5:13" ht="21.5" customHeight="1" x14ac:dyDescent="0.3">
      <c r="E14" s="4">
        <v>4</v>
      </c>
      <c r="F14" s="30" t="s">
        <v>33</v>
      </c>
      <c r="G14" s="30"/>
      <c r="H14" s="30"/>
      <c r="I14" s="5">
        <v>1</v>
      </c>
      <c r="J14" s="12">
        <v>54</v>
      </c>
      <c r="K14" s="17" t="s">
        <v>34</v>
      </c>
      <c r="L14" s="4">
        <v>170</v>
      </c>
      <c r="M14" s="9">
        <f t="shared" si="0"/>
        <v>9180</v>
      </c>
    </row>
    <row r="15" spans="5:13" ht="21.5" customHeight="1" x14ac:dyDescent="0.3">
      <c r="E15" s="4">
        <v>5</v>
      </c>
      <c r="F15" s="30" t="s">
        <v>35</v>
      </c>
      <c r="G15" s="30"/>
      <c r="H15" s="30"/>
      <c r="I15" s="5">
        <v>1</v>
      </c>
      <c r="J15" s="12">
        <v>196.88</v>
      </c>
      <c r="K15" s="17" t="s">
        <v>34</v>
      </c>
      <c r="L15" s="4">
        <v>170</v>
      </c>
      <c r="M15" s="9">
        <f t="shared" si="0"/>
        <v>33469.599999999999</v>
      </c>
    </row>
    <row r="16" spans="5:13" ht="21.5" customHeight="1" x14ac:dyDescent="0.3">
      <c r="E16" s="4">
        <v>6</v>
      </c>
      <c r="F16" s="30" t="s">
        <v>32</v>
      </c>
      <c r="G16" s="30"/>
      <c r="H16" s="30"/>
      <c r="I16" s="5">
        <v>1</v>
      </c>
      <c r="J16" s="12">
        <v>27.84</v>
      </c>
      <c r="K16" s="17" t="s">
        <v>34</v>
      </c>
      <c r="L16" s="4">
        <v>170</v>
      </c>
      <c r="M16" s="9">
        <f t="shared" si="0"/>
        <v>4732.8</v>
      </c>
    </row>
    <row r="17" spans="5:13" ht="21.5" customHeight="1" x14ac:dyDescent="0.3">
      <c r="E17" s="4">
        <v>7</v>
      </c>
      <c r="F17" s="30" t="s">
        <v>36</v>
      </c>
      <c r="G17" s="30"/>
      <c r="H17" s="30"/>
      <c r="I17" s="5">
        <v>1</v>
      </c>
      <c r="J17" s="12">
        <v>39.380000000000003</v>
      </c>
      <c r="K17" s="17" t="s">
        <v>25</v>
      </c>
      <c r="L17" s="4">
        <v>29</v>
      </c>
      <c r="M17" s="9">
        <f t="shared" si="0"/>
        <v>1142.02</v>
      </c>
    </row>
    <row r="18" spans="5:13" ht="25.5" customHeight="1" x14ac:dyDescent="0.3">
      <c r="E18" s="4">
        <v>8</v>
      </c>
      <c r="F18" s="30" t="s">
        <v>37</v>
      </c>
      <c r="G18" s="30"/>
      <c r="H18" s="30"/>
      <c r="I18" s="5">
        <v>1</v>
      </c>
      <c r="J18" s="12">
        <v>29.53</v>
      </c>
      <c r="K18" s="17" t="s">
        <v>34</v>
      </c>
      <c r="L18" s="4">
        <v>170</v>
      </c>
      <c r="M18" s="9">
        <f t="shared" si="0"/>
        <v>5020.1000000000004</v>
      </c>
    </row>
    <row r="19" spans="5:13" ht="25.5" customHeight="1" x14ac:dyDescent="0.3">
      <c r="E19" s="4">
        <v>9</v>
      </c>
      <c r="F19" s="30" t="s">
        <v>38</v>
      </c>
      <c r="G19" s="30"/>
      <c r="H19" s="30"/>
      <c r="I19" s="5">
        <v>1</v>
      </c>
      <c r="J19" s="12">
        <v>177</v>
      </c>
      <c r="K19" s="17" t="s">
        <v>25</v>
      </c>
      <c r="L19" s="4">
        <v>38</v>
      </c>
      <c r="M19" s="9">
        <f t="shared" si="0"/>
        <v>6726</v>
      </c>
    </row>
    <row r="20" spans="5:13" ht="25.5" customHeight="1" x14ac:dyDescent="0.3">
      <c r="E20" s="4">
        <v>10</v>
      </c>
      <c r="F20" s="30" t="s">
        <v>39</v>
      </c>
      <c r="G20" s="30"/>
      <c r="H20" s="30"/>
      <c r="I20" s="5">
        <v>1</v>
      </c>
      <c r="J20" s="12">
        <v>735</v>
      </c>
      <c r="K20" s="17" t="s">
        <v>25</v>
      </c>
      <c r="L20" s="4">
        <v>30</v>
      </c>
      <c r="M20" s="9">
        <f t="shared" si="0"/>
        <v>22050</v>
      </c>
    </row>
    <row r="21" spans="5:13" ht="17.399999999999999" customHeight="1" x14ac:dyDescent="0.35">
      <c r="E21" s="16"/>
      <c r="F21" s="32" t="s">
        <v>18</v>
      </c>
      <c r="G21" s="32"/>
      <c r="H21" s="32"/>
      <c r="I21" s="32"/>
      <c r="J21" s="32"/>
      <c r="K21" s="32"/>
      <c r="L21" s="32"/>
      <c r="M21" s="10">
        <f>SUM(M11:M20)</f>
        <v>93097.79</v>
      </c>
    </row>
    <row r="22" spans="5:13" ht="17.399999999999999" customHeight="1" x14ac:dyDescent="0.35">
      <c r="E22" s="16"/>
      <c r="F22" s="33" t="s">
        <v>20</v>
      </c>
      <c r="G22" s="33"/>
      <c r="H22" s="33"/>
      <c r="I22" s="33"/>
      <c r="J22" s="33"/>
      <c r="K22" s="33"/>
      <c r="L22" s="33"/>
      <c r="M22" s="6">
        <v>0</v>
      </c>
    </row>
    <row r="23" spans="5:13" ht="17.399999999999999" customHeight="1" x14ac:dyDescent="0.35">
      <c r="E23" s="16"/>
      <c r="F23" s="33" t="s">
        <v>21</v>
      </c>
      <c r="G23" s="33"/>
      <c r="H23" s="33"/>
      <c r="I23" s="33"/>
      <c r="J23" s="33"/>
      <c r="K23" s="33"/>
      <c r="L23" s="33"/>
      <c r="M23" s="6">
        <v>0</v>
      </c>
    </row>
    <row r="24" spans="5:13" ht="17.399999999999999" customHeight="1" x14ac:dyDescent="0.35">
      <c r="E24" s="16"/>
      <c r="F24" s="33" t="s">
        <v>23</v>
      </c>
      <c r="G24" s="33"/>
      <c r="H24" s="33"/>
      <c r="I24" s="33"/>
      <c r="J24" s="33"/>
      <c r="K24" s="33"/>
      <c r="L24" s="33"/>
      <c r="M24" s="10"/>
    </row>
    <row r="25" spans="5:13" ht="17.399999999999999" customHeight="1" x14ac:dyDescent="0.35">
      <c r="E25" s="16"/>
      <c r="F25" s="13"/>
      <c r="G25" s="13"/>
      <c r="H25" s="13"/>
      <c r="I25" s="13"/>
      <c r="J25" s="13"/>
      <c r="K25" s="13"/>
      <c r="L25" s="13"/>
      <c r="M25" s="10">
        <f>M21-M24+M22+M23</f>
        <v>93097.79</v>
      </c>
    </row>
    <row r="26" spans="5:13" ht="15.5" x14ac:dyDescent="0.35">
      <c r="E26" s="7"/>
      <c r="F26" s="34" t="s">
        <v>40</v>
      </c>
      <c r="G26" s="34"/>
      <c r="H26" s="34"/>
      <c r="I26" s="34"/>
      <c r="J26" s="34"/>
      <c r="K26" s="34"/>
      <c r="L26" s="34"/>
      <c r="M26" s="34"/>
    </row>
    <row r="27" spans="5:13" ht="15.5" x14ac:dyDescent="0.35">
      <c r="E27" s="16"/>
      <c r="F27" s="22" t="s">
        <v>13</v>
      </c>
      <c r="G27" s="22"/>
      <c r="H27" s="22"/>
      <c r="I27" s="7"/>
      <c r="J27" s="7"/>
      <c r="K27" s="7"/>
      <c r="L27" s="7"/>
      <c r="M27" s="11"/>
    </row>
    <row r="28" spans="5:13" ht="15.5" x14ac:dyDescent="0.35">
      <c r="E28" s="16"/>
      <c r="F28" s="22" t="s">
        <v>22</v>
      </c>
      <c r="G28" s="22"/>
      <c r="H28" s="22"/>
      <c r="I28" s="7"/>
      <c r="J28" s="7"/>
      <c r="K28" s="7"/>
      <c r="L28" s="7"/>
      <c r="M28" s="11"/>
    </row>
    <row r="29" spans="5:13" ht="15.5" x14ac:dyDescent="0.35">
      <c r="E29" s="16"/>
      <c r="F29" s="22" t="s">
        <v>14</v>
      </c>
      <c r="G29" s="22"/>
      <c r="H29" s="22"/>
      <c r="I29" s="7"/>
      <c r="J29" s="7"/>
      <c r="K29" s="7"/>
      <c r="L29" s="7"/>
      <c r="M29" s="18">
        <f>M25-M27-M28</f>
        <v>93097.79</v>
      </c>
    </row>
    <row r="30" spans="5:13" ht="15.5" x14ac:dyDescent="0.35">
      <c r="E30" s="7"/>
      <c r="F30" s="7"/>
      <c r="G30" s="7"/>
      <c r="H30" s="7"/>
      <c r="I30" s="7"/>
      <c r="J30" s="7"/>
      <c r="K30" s="7"/>
      <c r="L30" s="7"/>
      <c r="M30" s="7"/>
    </row>
    <row r="31" spans="5:13" x14ac:dyDescent="0.3">
      <c r="E31" s="25"/>
      <c r="F31" s="25"/>
      <c r="G31" s="25"/>
      <c r="H31" s="25"/>
      <c r="I31" s="25"/>
      <c r="J31" s="25"/>
      <c r="K31" s="25"/>
      <c r="L31" s="25"/>
      <c r="M31" s="25"/>
    </row>
    <row r="32" spans="5:13" x14ac:dyDescent="0.3">
      <c r="E32" s="25"/>
      <c r="F32" s="25"/>
      <c r="G32" s="25"/>
      <c r="H32" s="25"/>
      <c r="I32" s="25"/>
      <c r="J32" s="25"/>
      <c r="K32" s="25"/>
      <c r="L32" s="25"/>
      <c r="M32" s="25"/>
    </row>
    <row r="33" spans="5:13" x14ac:dyDescent="0.3">
      <c r="E33" s="25"/>
      <c r="F33" s="25"/>
      <c r="G33" s="25"/>
      <c r="H33" s="25"/>
      <c r="I33" s="25"/>
      <c r="J33" s="25"/>
      <c r="K33" s="25"/>
      <c r="L33" s="25"/>
      <c r="M33" s="25"/>
    </row>
    <row r="34" spans="5:13" x14ac:dyDescent="0.3">
      <c r="E34" s="24" t="s">
        <v>15</v>
      </c>
      <c r="F34" s="24"/>
      <c r="G34" s="24"/>
      <c r="H34" s="24"/>
      <c r="I34" s="24"/>
      <c r="J34" s="24"/>
      <c r="K34" s="24"/>
      <c r="L34" s="24"/>
      <c r="M34" s="24"/>
    </row>
    <row r="35" spans="5:13" x14ac:dyDescent="0.3">
      <c r="E35" s="24"/>
      <c r="F35" s="24"/>
      <c r="G35" s="24"/>
      <c r="H35" s="24"/>
      <c r="I35" s="24"/>
      <c r="J35" s="24"/>
      <c r="K35" s="24"/>
      <c r="L35" s="24"/>
      <c r="M35" s="24"/>
    </row>
    <row r="36" spans="5:13" x14ac:dyDescent="0.3">
      <c r="E36" s="24"/>
      <c r="F36" s="24"/>
      <c r="G36" s="24"/>
      <c r="H36" s="24"/>
      <c r="I36" s="24"/>
      <c r="J36" s="24"/>
      <c r="K36" s="24"/>
      <c r="L36" s="24"/>
      <c r="M36" s="24"/>
    </row>
    <row r="37" spans="5:13" x14ac:dyDescent="0.3">
      <c r="E37" s="24"/>
      <c r="F37" s="24"/>
      <c r="G37" s="24"/>
      <c r="H37" s="24"/>
      <c r="I37" s="24"/>
      <c r="J37" s="24"/>
      <c r="K37" s="24"/>
      <c r="L37" s="24"/>
      <c r="M37" s="24"/>
    </row>
    <row r="38" spans="5:13" x14ac:dyDescent="0.3">
      <c r="E38" s="24"/>
      <c r="F38" s="24"/>
      <c r="G38" s="24"/>
      <c r="H38" s="24"/>
      <c r="I38" s="24"/>
      <c r="J38" s="24"/>
      <c r="K38" s="24"/>
      <c r="L38" s="24"/>
      <c r="M38" s="24"/>
    </row>
    <row r="39" spans="5:13" x14ac:dyDescent="0.3">
      <c r="E39" s="24"/>
      <c r="F39" s="24"/>
      <c r="G39" s="24"/>
      <c r="H39" s="24"/>
      <c r="I39" s="24"/>
      <c r="J39" s="24"/>
      <c r="K39" s="24"/>
      <c r="L39" s="24"/>
      <c r="M39" s="24"/>
    </row>
    <row r="40" spans="5:13" ht="15.5" x14ac:dyDescent="0.35">
      <c r="E40" s="7"/>
      <c r="F40" s="7"/>
      <c r="G40" s="7"/>
      <c r="H40" s="7"/>
      <c r="I40" s="7"/>
      <c r="J40" s="7"/>
      <c r="K40" s="7"/>
      <c r="L40" s="7"/>
      <c r="M40" s="7"/>
    </row>
    <row r="41" spans="5:13" ht="15.5" x14ac:dyDescent="0.35">
      <c r="E41" s="7"/>
      <c r="F41" s="7"/>
      <c r="G41" s="7"/>
      <c r="H41" s="7"/>
      <c r="I41" s="7"/>
      <c r="J41" s="7"/>
      <c r="K41" s="7"/>
      <c r="L41" s="7"/>
      <c r="M41" s="7"/>
    </row>
  </sheetData>
  <mergeCells count="37">
    <mergeCell ref="F20:H20"/>
    <mergeCell ref="F18:H18"/>
    <mergeCell ref="F19:H19"/>
    <mergeCell ref="E38:M39"/>
    <mergeCell ref="F21:L21"/>
    <mergeCell ref="F22:L22"/>
    <mergeCell ref="F23:L23"/>
    <mergeCell ref="F24:L24"/>
    <mergeCell ref="F26:M26"/>
    <mergeCell ref="F27:H27"/>
    <mergeCell ref="F28:H28"/>
    <mergeCell ref="F29:H29"/>
    <mergeCell ref="E31:M33"/>
    <mergeCell ref="E34:M35"/>
    <mergeCell ref="E36:M37"/>
    <mergeCell ref="E8:F8"/>
    <mergeCell ref="G8:M8"/>
    <mergeCell ref="E9:M9"/>
    <mergeCell ref="F10:H10"/>
    <mergeCell ref="F17:H17"/>
    <mergeCell ref="F11:H11"/>
    <mergeCell ref="F12:H12"/>
    <mergeCell ref="F15:H15"/>
    <mergeCell ref="F16:H16"/>
    <mergeCell ref="F13:H13"/>
    <mergeCell ref="F14:H14"/>
    <mergeCell ref="E6:J6"/>
    <mergeCell ref="L6:M6"/>
    <mergeCell ref="E7:F7"/>
    <mergeCell ref="G7:J7"/>
    <mergeCell ref="L7:M7"/>
    <mergeCell ref="E2:M2"/>
    <mergeCell ref="E4:F4"/>
    <mergeCell ref="G4:J4"/>
    <mergeCell ref="K4:L4"/>
    <mergeCell ref="E5:F5"/>
    <mergeCell ref="G5:M5"/>
  </mergeCells>
  <pageMargins left="0.7" right="0.7" top="0.75" bottom="0.75" header="0.3" footer="0.3"/>
  <pageSetup paperSize="9" scale="58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F648F-C87C-4963-9B60-0AAA32327D42}">
  <sheetPr>
    <pageSetUpPr fitToPage="1"/>
  </sheetPr>
  <dimension ref="E2:O35"/>
  <sheetViews>
    <sheetView topLeftCell="B4" workbookViewId="0">
      <selection activeCell="O11" sqref="O11:O12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2.453125" style="1" customWidth="1"/>
    <col min="14" max="14" width="8.6328125" style="1"/>
    <col min="15" max="15" width="9" style="1" bestFit="1" customWidth="1"/>
    <col min="16" max="16384" width="8.6328125" style="1"/>
  </cols>
  <sheetData>
    <row r="2" spans="5:15" ht="17.5" x14ac:dyDescent="0.35">
      <c r="E2" s="20" t="s">
        <v>0</v>
      </c>
      <c r="F2" s="20"/>
      <c r="G2" s="20"/>
      <c r="H2" s="20"/>
      <c r="I2" s="20"/>
      <c r="J2" s="20"/>
      <c r="K2" s="20"/>
      <c r="L2" s="20"/>
      <c r="M2" s="20"/>
    </row>
    <row r="3" spans="5:15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5" ht="15.5" x14ac:dyDescent="0.35">
      <c r="E4" s="21" t="s">
        <v>16</v>
      </c>
      <c r="F4" s="21"/>
      <c r="G4" s="22" t="s">
        <v>26</v>
      </c>
      <c r="H4" s="22"/>
      <c r="I4" s="22"/>
      <c r="J4" s="22"/>
      <c r="K4" s="23" t="s">
        <v>19</v>
      </c>
      <c r="L4" s="23"/>
      <c r="M4" s="7">
        <v>2</v>
      </c>
    </row>
    <row r="5" spans="5:15" ht="18.899999999999999" customHeight="1" x14ac:dyDescent="0.3">
      <c r="E5" s="24" t="s">
        <v>1</v>
      </c>
      <c r="F5" s="24"/>
      <c r="G5" s="25" t="s">
        <v>27</v>
      </c>
      <c r="H5" s="25"/>
      <c r="I5" s="25"/>
      <c r="J5" s="25"/>
      <c r="K5" s="25"/>
      <c r="L5" s="25"/>
      <c r="M5" s="25"/>
    </row>
    <row r="6" spans="5:15" ht="30.9" customHeight="1" x14ac:dyDescent="0.35">
      <c r="E6" s="26" t="s">
        <v>24</v>
      </c>
      <c r="F6" s="26"/>
      <c r="G6" s="26"/>
      <c r="H6" s="26"/>
      <c r="I6" s="26"/>
      <c r="J6" s="26"/>
      <c r="K6" s="8" t="s">
        <v>2</v>
      </c>
      <c r="L6" s="27">
        <v>45787</v>
      </c>
      <c r="M6" s="28"/>
    </row>
    <row r="7" spans="5:15" ht="20.149999999999999" customHeight="1" x14ac:dyDescent="0.3">
      <c r="E7" s="29" t="s">
        <v>3</v>
      </c>
      <c r="F7" s="29"/>
      <c r="G7" s="30" t="s">
        <v>28</v>
      </c>
      <c r="H7" s="30"/>
      <c r="I7" s="30"/>
      <c r="J7" s="30"/>
      <c r="K7" s="14" t="s">
        <v>17</v>
      </c>
      <c r="L7" s="27">
        <v>45781</v>
      </c>
      <c r="M7" s="28"/>
    </row>
    <row r="8" spans="5:15" ht="18.899999999999999" customHeight="1" x14ac:dyDescent="0.3">
      <c r="E8" s="24" t="s">
        <v>5</v>
      </c>
      <c r="F8" s="24"/>
      <c r="G8" s="25" t="s">
        <v>29</v>
      </c>
      <c r="H8" s="25"/>
      <c r="I8" s="25"/>
      <c r="J8" s="25"/>
      <c r="K8" s="25"/>
      <c r="L8" s="25"/>
      <c r="M8" s="25"/>
    </row>
    <row r="9" spans="5:15" ht="20.399999999999999" customHeight="1" x14ac:dyDescent="0.3">
      <c r="E9" s="24" t="s">
        <v>4</v>
      </c>
      <c r="F9" s="24"/>
      <c r="G9" s="24"/>
      <c r="H9" s="24"/>
      <c r="I9" s="24"/>
      <c r="J9" s="24"/>
      <c r="K9" s="24"/>
      <c r="L9" s="24"/>
      <c r="M9" s="24"/>
    </row>
    <row r="10" spans="5:15" ht="30" x14ac:dyDescent="0.3">
      <c r="E10" s="2" t="s">
        <v>12</v>
      </c>
      <c r="F10" s="31" t="s">
        <v>6</v>
      </c>
      <c r="G10" s="31"/>
      <c r="H10" s="31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5" ht="19.5" customHeight="1" x14ac:dyDescent="0.3">
      <c r="E11" s="4">
        <v>1</v>
      </c>
      <c r="F11" s="30" t="s">
        <v>41</v>
      </c>
      <c r="G11" s="30"/>
      <c r="H11" s="30"/>
      <c r="I11" s="5">
        <v>1</v>
      </c>
      <c r="J11" s="12">
        <v>177</v>
      </c>
      <c r="K11" s="17" t="s">
        <v>25</v>
      </c>
      <c r="L11" s="4">
        <v>38</v>
      </c>
      <c r="M11" s="9">
        <f t="shared" ref="M11:M14" si="0">J11*L11*I11</f>
        <v>6726</v>
      </c>
      <c r="O11" s="35">
        <f>M15+'Bill-3'!M17+'Bill-4'!M15+23000</f>
        <v>257328</v>
      </c>
    </row>
    <row r="12" spans="5:15" ht="20" customHeight="1" x14ac:dyDescent="0.3">
      <c r="E12" s="4">
        <v>2</v>
      </c>
      <c r="F12" s="30" t="s">
        <v>42</v>
      </c>
      <c r="G12" s="30"/>
      <c r="H12" s="30"/>
      <c r="I12" s="5">
        <v>1</v>
      </c>
      <c r="J12" s="19">
        <v>88.5</v>
      </c>
      <c r="K12" s="17" t="s">
        <v>34</v>
      </c>
      <c r="L12" s="4">
        <v>100</v>
      </c>
      <c r="M12" s="9">
        <f t="shared" si="0"/>
        <v>8850</v>
      </c>
      <c r="O12" s="35">
        <f>O11+57551</f>
        <v>314879</v>
      </c>
    </row>
    <row r="13" spans="5:15" ht="21.5" customHeight="1" x14ac:dyDescent="0.3">
      <c r="E13" s="4">
        <v>3</v>
      </c>
      <c r="F13" s="30" t="s">
        <v>43</v>
      </c>
      <c r="G13" s="30"/>
      <c r="H13" s="30"/>
      <c r="I13" s="5">
        <v>1</v>
      </c>
      <c r="J13" s="12">
        <v>45</v>
      </c>
      <c r="K13" s="17" t="s">
        <v>34</v>
      </c>
      <c r="L13" s="4">
        <v>170</v>
      </c>
      <c r="M13" s="9">
        <f t="shared" si="0"/>
        <v>7650</v>
      </c>
    </row>
    <row r="14" spans="5:15" ht="21.5" customHeight="1" x14ac:dyDescent="0.3">
      <c r="E14" s="4">
        <v>4</v>
      </c>
      <c r="F14" s="30" t="s">
        <v>44</v>
      </c>
      <c r="G14" s="30"/>
      <c r="H14" s="30"/>
      <c r="I14" s="5">
        <v>1</v>
      </c>
      <c r="J14" s="12">
        <v>280</v>
      </c>
      <c r="K14" s="17" t="s">
        <v>25</v>
      </c>
      <c r="L14" s="4">
        <v>160</v>
      </c>
      <c r="M14" s="9">
        <f t="shared" si="0"/>
        <v>44800</v>
      </c>
    </row>
    <row r="15" spans="5:15" ht="17.399999999999999" customHeight="1" x14ac:dyDescent="0.35">
      <c r="E15" s="16"/>
      <c r="F15" s="32" t="s">
        <v>18</v>
      </c>
      <c r="G15" s="32"/>
      <c r="H15" s="32"/>
      <c r="I15" s="32"/>
      <c r="J15" s="32"/>
      <c r="K15" s="32"/>
      <c r="L15" s="32"/>
      <c r="M15" s="10">
        <f>SUM(M11:M14)</f>
        <v>68026</v>
      </c>
    </row>
    <row r="16" spans="5:15" ht="17.399999999999999" customHeight="1" x14ac:dyDescent="0.35">
      <c r="E16" s="16"/>
      <c r="F16" s="33" t="s">
        <v>20</v>
      </c>
      <c r="G16" s="33"/>
      <c r="H16" s="33"/>
      <c r="I16" s="33"/>
      <c r="J16" s="33"/>
      <c r="K16" s="33"/>
      <c r="L16" s="33"/>
      <c r="M16" s="6">
        <v>0</v>
      </c>
    </row>
    <row r="17" spans="5:13" ht="17.399999999999999" customHeight="1" x14ac:dyDescent="0.35">
      <c r="E17" s="16"/>
      <c r="F17" s="33" t="s">
        <v>21</v>
      </c>
      <c r="G17" s="33"/>
      <c r="H17" s="33"/>
      <c r="I17" s="33"/>
      <c r="J17" s="33"/>
      <c r="K17" s="33"/>
      <c r="L17" s="33"/>
      <c r="M17" s="6">
        <v>0</v>
      </c>
    </row>
    <row r="18" spans="5:13" ht="17.399999999999999" customHeight="1" x14ac:dyDescent="0.35">
      <c r="E18" s="16"/>
      <c r="F18" s="33" t="s">
        <v>23</v>
      </c>
      <c r="G18" s="33"/>
      <c r="H18" s="33"/>
      <c r="I18" s="33"/>
      <c r="J18" s="33"/>
      <c r="K18" s="33"/>
      <c r="L18" s="33"/>
      <c r="M18" s="10"/>
    </row>
    <row r="19" spans="5:13" ht="17.399999999999999" customHeight="1" x14ac:dyDescent="0.35">
      <c r="E19" s="16"/>
      <c r="F19" s="13"/>
      <c r="G19" s="13"/>
      <c r="H19" s="13"/>
      <c r="I19" s="13"/>
      <c r="J19" s="13"/>
      <c r="K19" s="13"/>
      <c r="L19" s="13"/>
      <c r="M19" s="10">
        <f>M15-M18+M16+M17</f>
        <v>68026</v>
      </c>
    </row>
    <row r="20" spans="5:13" ht="15.5" x14ac:dyDescent="0.35">
      <c r="E20" s="7"/>
      <c r="F20" s="34" t="s">
        <v>45</v>
      </c>
      <c r="G20" s="34"/>
      <c r="H20" s="34"/>
      <c r="I20" s="34"/>
      <c r="J20" s="34"/>
      <c r="K20" s="34"/>
      <c r="L20" s="34"/>
      <c r="M20" s="34"/>
    </row>
    <row r="21" spans="5:13" ht="15.5" x14ac:dyDescent="0.35">
      <c r="E21" s="16"/>
      <c r="F21" s="22" t="s">
        <v>13</v>
      </c>
      <c r="G21" s="22"/>
      <c r="H21" s="22"/>
      <c r="I21" s="7"/>
      <c r="J21" s="7"/>
      <c r="K21" s="7"/>
      <c r="L21" s="7"/>
      <c r="M21" s="11"/>
    </row>
    <row r="22" spans="5:13" ht="15.5" x14ac:dyDescent="0.35">
      <c r="E22" s="16"/>
      <c r="F22" s="22" t="s">
        <v>22</v>
      </c>
      <c r="G22" s="22"/>
      <c r="H22" s="22"/>
      <c r="I22" s="7"/>
      <c r="J22" s="7"/>
      <c r="K22" s="7"/>
      <c r="L22" s="7"/>
      <c r="M22" s="11"/>
    </row>
    <row r="23" spans="5:13" ht="15.5" x14ac:dyDescent="0.35">
      <c r="E23" s="16"/>
      <c r="F23" s="22" t="s">
        <v>14</v>
      </c>
      <c r="G23" s="22"/>
      <c r="H23" s="22"/>
      <c r="I23" s="7"/>
      <c r="J23" s="7"/>
      <c r="K23" s="7"/>
      <c r="L23" s="7"/>
      <c r="M23" s="18">
        <f>M19-M21-M22</f>
        <v>68026</v>
      </c>
    </row>
    <row r="24" spans="5:13" ht="15.5" x14ac:dyDescent="0.35">
      <c r="E24" s="7"/>
      <c r="F24" s="7"/>
      <c r="G24" s="7"/>
      <c r="H24" s="7"/>
      <c r="I24" s="7"/>
      <c r="J24" s="7"/>
      <c r="K24" s="7"/>
      <c r="L24" s="7"/>
      <c r="M24" s="7"/>
    </row>
    <row r="25" spans="5:13" x14ac:dyDescent="0.3">
      <c r="E25" s="25"/>
      <c r="F25" s="25"/>
      <c r="G25" s="25"/>
      <c r="H25" s="25"/>
      <c r="I25" s="25"/>
      <c r="J25" s="25"/>
      <c r="K25" s="25"/>
      <c r="L25" s="25"/>
      <c r="M25" s="25"/>
    </row>
    <row r="26" spans="5:13" x14ac:dyDescent="0.3">
      <c r="E26" s="25"/>
      <c r="F26" s="25"/>
      <c r="G26" s="25"/>
      <c r="H26" s="25"/>
      <c r="I26" s="25"/>
      <c r="J26" s="25"/>
      <c r="K26" s="25"/>
      <c r="L26" s="25"/>
      <c r="M26" s="25"/>
    </row>
    <row r="27" spans="5:13" x14ac:dyDescent="0.3">
      <c r="E27" s="25"/>
      <c r="F27" s="25"/>
      <c r="G27" s="25"/>
      <c r="H27" s="25"/>
      <c r="I27" s="25"/>
      <c r="J27" s="25"/>
      <c r="K27" s="25"/>
      <c r="L27" s="25"/>
      <c r="M27" s="25"/>
    </row>
    <row r="28" spans="5:13" x14ac:dyDescent="0.3">
      <c r="E28" s="24" t="s">
        <v>15</v>
      </c>
      <c r="F28" s="24"/>
      <c r="G28" s="24"/>
      <c r="H28" s="24"/>
      <c r="I28" s="24"/>
      <c r="J28" s="24"/>
      <c r="K28" s="24"/>
      <c r="L28" s="24"/>
      <c r="M28" s="24"/>
    </row>
    <row r="29" spans="5:13" x14ac:dyDescent="0.3">
      <c r="E29" s="24"/>
      <c r="F29" s="24"/>
      <c r="G29" s="24"/>
      <c r="H29" s="24"/>
      <c r="I29" s="24"/>
      <c r="J29" s="24"/>
      <c r="K29" s="24"/>
      <c r="L29" s="24"/>
      <c r="M29" s="24"/>
    </row>
    <row r="30" spans="5:13" x14ac:dyDescent="0.3">
      <c r="E30" s="24"/>
      <c r="F30" s="24"/>
      <c r="G30" s="24"/>
      <c r="H30" s="24"/>
      <c r="I30" s="24"/>
      <c r="J30" s="24"/>
      <c r="K30" s="24"/>
      <c r="L30" s="24"/>
      <c r="M30" s="24"/>
    </row>
    <row r="31" spans="5:13" x14ac:dyDescent="0.3">
      <c r="E31" s="24"/>
      <c r="F31" s="24"/>
      <c r="G31" s="24"/>
      <c r="H31" s="24"/>
      <c r="I31" s="24"/>
      <c r="J31" s="24"/>
      <c r="K31" s="24"/>
      <c r="L31" s="24"/>
      <c r="M31" s="24"/>
    </row>
    <row r="32" spans="5:13" x14ac:dyDescent="0.3">
      <c r="E32" s="24"/>
      <c r="F32" s="24"/>
      <c r="G32" s="24"/>
      <c r="H32" s="24"/>
      <c r="I32" s="24"/>
      <c r="J32" s="24"/>
      <c r="K32" s="24"/>
      <c r="L32" s="24"/>
      <c r="M32" s="24"/>
    </row>
    <row r="33" spans="5:13" x14ac:dyDescent="0.3">
      <c r="E33" s="24"/>
      <c r="F33" s="24"/>
      <c r="G33" s="24"/>
      <c r="H33" s="24"/>
      <c r="I33" s="24"/>
      <c r="J33" s="24"/>
      <c r="K33" s="24"/>
      <c r="L33" s="24"/>
      <c r="M33" s="24"/>
    </row>
    <row r="34" spans="5:13" ht="15.5" x14ac:dyDescent="0.35">
      <c r="E34" s="7"/>
      <c r="F34" s="7"/>
      <c r="G34" s="7"/>
      <c r="H34" s="7"/>
      <c r="I34" s="7"/>
      <c r="J34" s="7"/>
      <c r="K34" s="7"/>
      <c r="L34" s="7"/>
      <c r="M34" s="7"/>
    </row>
    <row r="35" spans="5:13" ht="15.5" x14ac:dyDescent="0.35">
      <c r="E35" s="7"/>
      <c r="F35" s="7"/>
      <c r="G35" s="7"/>
      <c r="H35" s="7"/>
      <c r="I35" s="7"/>
      <c r="J35" s="7"/>
      <c r="K35" s="7"/>
      <c r="L35" s="7"/>
      <c r="M35" s="7"/>
    </row>
  </sheetData>
  <mergeCells count="31">
    <mergeCell ref="E2:M2"/>
    <mergeCell ref="E4:F4"/>
    <mergeCell ref="G4:J4"/>
    <mergeCell ref="K4:L4"/>
    <mergeCell ref="E5:F5"/>
    <mergeCell ref="G5:M5"/>
    <mergeCell ref="F14:H14"/>
    <mergeCell ref="E6:J6"/>
    <mergeCell ref="L6:M6"/>
    <mergeCell ref="E7:F7"/>
    <mergeCell ref="G7:J7"/>
    <mergeCell ref="L7:M7"/>
    <mergeCell ref="E8:F8"/>
    <mergeCell ref="G8:M8"/>
    <mergeCell ref="E9:M9"/>
    <mergeCell ref="F10:H10"/>
    <mergeCell ref="F11:H11"/>
    <mergeCell ref="F12:H12"/>
    <mergeCell ref="F13:H13"/>
    <mergeCell ref="E32:M33"/>
    <mergeCell ref="F15:L15"/>
    <mergeCell ref="F16:L16"/>
    <mergeCell ref="F17:L17"/>
    <mergeCell ref="F18:L18"/>
    <mergeCell ref="F20:M20"/>
    <mergeCell ref="F21:H21"/>
    <mergeCell ref="F22:H22"/>
    <mergeCell ref="F23:H23"/>
    <mergeCell ref="E25:M27"/>
    <mergeCell ref="E28:M29"/>
    <mergeCell ref="E30:M31"/>
  </mergeCells>
  <pageMargins left="0.7" right="0.7" top="0.75" bottom="0.75" header="0.3" footer="0.3"/>
  <pageSetup paperSize="9" scale="58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47BE-9743-45FB-9CF6-86E3496136D9}">
  <sheetPr>
    <pageSetUpPr fitToPage="1"/>
  </sheetPr>
  <dimension ref="E2:M33"/>
  <sheetViews>
    <sheetView topLeftCell="B6" workbookViewId="0">
      <selection activeCell="E2" sqref="E2:M32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2.453125" style="1" customWidth="1"/>
    <col min="14" max="16384" width="8.6328125" style="1"/>
  </cols>
  <sheetData>
    <row r="2" spans="5:13" ht="17.5" x14ac:dyDescent="0.35">
      <c r="E2" s="20" t="s">
        <v>0</v>
      </c>
      <c r="F2" s="20"/>
      <c r="G2" s="20"/>
      <c r="H2" s="20"/>
      <c r="I2" s="20"/>
      <c r="J2" s="20"/>
      <c r="K2" s="20"/>
      <c r="L2" s="20"/>
      <c r="M2" s="20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1" t="s">
        <v>16</v>
      </c>
      <c r="F4" s="21"/>
      <c r="G4" s="22" t="s">
        <v>26</v>
      </c>
      <c r="H4" s="22"/>
      <c r="I4" s="22"/>
      <c r="J4" s="22"/>
      <c r="K4" s="23" t="s">
        <v>19</v>
      </c>
      <c r="L4" s="23"/>
      <c r="M4" s="7">
        <v>3</v>
      </c>
    </row>
    <row r="5" spans="5:13" ht="18.899999999999999" customHeight="1" x14ac:dyDescent="0.3">
      <c r="E5" s="24" t="s">
        <v>1</v>
      </c>
      <c r="F5" s="24"/>
      <c r="G5" s="25" t="s">
        <v>27</v>
      </c>
      <c r="H5" s="25"/>
      <c r="I5" s="25"/>
      <c r="J5" s="25"/>
      <c r="K5" s="25"/>
      <c r="L5" s="25"/>
      <c r="M5" s="25"/>
    </row>
    <row r="6" spans="5:13" ht="30.9" customHeight="1" x14ac:dyDescent="0.35">
      <c r="E6" s="26" t="s">
        <v>24</v>
      </c>
      <c r="F6" s="26"/>
      <c r="G6" s="26"/>
      <c r="H6" s="26"/>
      <c r="I6" s="26"/>
      <c r="J6" s="26"/>
      <c r="K6" s="8" t="s">
        <v>2</v>
      </c>
      <c r="L6" s="27">
        <v>45787</v>
      </c>
      <c r="M6" s="28"/>
    </row>
    <row r="7" spans="5:13" ht="20.149999999999999" customHeight="1" x14ac:dyDescent="0.3">
      <c r="E7" s="29" t="s">
        <v>3</v>
      </c>
      <c r="F7" s="29"/>
      <c r="G7" s="30" t="s">
        <v>28</v>
      </c>
      <c r="H7" s="30"/>
      <c r="I7" s="30"/>
      <c r="J7" s="30"/>
      <c r="K7" s="14" t="s">
        <v>17</v>
      </c>
      <c r="L7" s="27">
        <v>45784</v>
      </c>
      <c r="M7" s="28"/>
    </row>
    <row r="8" spans="5:13" ht="18.899999999999999" customHeight="1" x14ac:dyDescent="0.3">
      <c r="E8" s="24" t="s">
        <v>5</v>
      </c>
      <c r="F8" s="24"/>
      <c r="G8" s="25" t="s">
        <v>29</v>
      </c>
      <c r="H8" s="25"/>
      <c r="I8" s="25"/>
      <c r="J8" s="25"/>
      <c r="K8" s="25"/>
      <c r="L8" s="25"/>
      <c r="M8" s="25"/>
    </row>
    <row r="9" spans="5:13" ht="20.399999999999999" customHeight="1" x14ac:dyDescent="0.3">
      <c r="E9" s="24" t="s">
        <v>4</v>
      </c>
      <c r="F9" s="24"/>
      <c r="G9" s="24"/>
      <c r="H9" s="24"/>
      <c r="I9" s="24"/>
      <c r="J9" s="24"/>
      <c r="K9" s="24"/>
      <c r="L9" s="24"/>
      <c r="M9" s="24"/>
    </row>
    <row r="10" spans="5:13" ht="30" x14ac:dyDescent="0.3">
      <c r="E10" s="2" t="s">
        <v>12</v>
      </c>
      <c r="F10" s="31" t="s">
        <v>6</v>
      </c>
      <c r="G10" s="31"/>
      <c r="H10" s="31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19.5" customHeight="1" x14ac:dyDescent="0.3">
      <c r="E11" s="4">
        <v>1</v>
      </c>
      <c r="F11" s="30" t="s">
        <v>44</v>
      </c>
      <c r="G11" s="30"/>
      <c r="H11" s="30"/>
      <c r="I11" s="5">
        <v>1</v>
      </c>
      <c r="J11" s="12">
        <v>366</v>
      </c>
      <c r="K11" s="17" t="s">
        <v>25</v>
      </c>
      <c r="L11" s="4">
        <v>160</v>
      </c>
      <c r="M11" s="9">
        <f t="shared" ref="M11:M12" si="0">J11*L11*I11</f>
        <v>58560</v>
      </c>
    </row>
    <row r="12" spans="5:13" ht="20" customHeight="1" x14ac:dyDescent="0.3">
      <c r="E12" s="4">
        <v>2</v>
      </c>
      <c r="F12" s="30" t="s">
        <v>46</v>
      </c>
      <c r="G12" s="30"/>
      <c r="H12" s="30"/>
      <c r="I12" s="5">
        <v>1</v>
      </c>
      <c r="J12" s="19">
        <v>88</v>
      </c>
      <c r="K12" s="17" t="s">
        <v>25</v>
      </c>
      <c r="L12" s="4">
        <v>160</v>
      </c>
      <c r="M12" s="9">
        <f t="shared" si="0"/>
        <v>14080</v>
      </c>
    </row>
    <row r="13" spans="5:13" ht="17.399999999999999" customHeight="1" x14ac:dyDescent="0.35">
      <c r="E13" s="16"/>
      <c r="F13" s="32" t="s">
        <v>18</v>
      </c>
      <c r="G13" s="32"/>
      <c r="H13" s="32"/>
      <c r="I13" s="32"/>
      <c r="J13" s="32"/>
      <c r="K13" s="32"/>
      <c r="L13" s="32"/>
      <c r="M13" s="10">
        <f>SUM(M11:M12)</f>
        <v>72640</v>
      </c>
    </row>
    <row r="14" spans="5:13" ht="17.399999999999999" customHeight="1" x14ac:dyDescent="0.35">
      <c r="E14" s="16"/>
      <c r="F14" s="33" t="s">
        <v>20</v>
      </c>
      <c r="G14" s="33"/>
      <c r="H14" s="33"/>
      <c r="I14" s="33"/>
      <c r="J14" s="33"/>
      <c r="K14" s="33"/>
      <c r="L14" s="33"/>
      <c r="M14" s="6">
        <v>0</v>
      </c>
    </row>
    <row r="15" spans="5:13" ht="17.399999999999999" customHeight="1" x14ac:dyDescent="0.35">
      <c r="E15" s="16"/>
      <c r="F15" s="33" t="s">
        <v>21</v>
      </c>
      <c r="G15" s="33"/>
      <c r="H15" s="33"/>
      <c r="I15" s="33"/>
      <c r="J15" s="33"/>
      <c r="K15" s="33"/>
      <c r="L15" s="33"/>
      <c r="M15" s="6">
        <v>0</v>
      </c>
    </row>
    <row r="16" spans="5:13" ht="17.399999999999999" customHeight="1" x14ac:dyDescent="0.35">
      <c r="E16" s="16"/>
      <c r="F16" s="33" t="s">
        <v>23</v>
      </c>
      <c r="G16" s="33"/>
      <c r="H16" s="33"/>
      <c r="I16" s="33"/>
      <c r="J16" s="33"/>
      <c r="K16" s="33"/>
      <c r="L16" s="33"/>
      <c r="M16" s="10"/>
    </row>
    <row r="17" spans="5:13" ht="17.399999999999999" customHeight="1" x14ac:dyDescent="0.35">
      <c r="E17" s="16"/>
      <c r="F17" s="13"/>
      <c r="G17" s="13"/>
      <c r="H17" s="13"/>
      <c r="I17" s="13"/>
      <c r="J17" s="13"/>
      <c r="K17" s="13"/>
      <c r="L17" s="13"/>
      <c r="M17" s="10">
        <f>M13-M16+M14+M15</f>
        <v>72640</v>
      </c>
    </row>
    <row r="18" spans="5:13" ht="15.5" x14ac:dyDescent="0.35">
      <c r="E18" s="7"/>
      <c r="F18" s="34" t="s">
        <v>47</v>
      </c>
      <c r="G18" s="34"/>
      <c r="H18" s="34"/>
      <c r="I18" s="34"/>
      <c r="J18" s="34"/>
      <c r="K18" s="34"/>
      <c r="L18" s="34"/>
      <c r="M18" s="34"/>
    </row>
    <row r="19" spans="5:13" ht="15.5" x14ac:dyDescent="0.35">
      <c r="E19" s="16"/>
      <c r="F19" s="22" t="s">
        <v>13</v>
      </c>
      <c r="G19" s="22"/>
      <c r="H19" s="22"/>
      <c r="I19" s="7"/>
      <c r="J19" s="7"/>
      <c r="K19" s="7"/>
      <c r="L19" s="7"/>
      <c r="M19" s="11"/>
    </row>
    <row r="20" spans="5:13" ht="15.5" x14ac:dyDescent="0.35">
      <c r="E20" s="16"/>
      <c r="F20" s="22" t="s">
        <v>22</v>
      </c>
      <c r="G20" s="22"/>
      <c r="H20" s="22"/>
      <c r="I20" s="7"/>
      <c r="J20" s="7"/>
      <c r="K20" s="7"/>
      <c r="L20" s="7"/>
      <c r="M20" s="11"/>
    </row>
    <row r="21" spans="5:13" ht="15.5" x14ac:dyDescent="0.35">
      <c r="E21" s="16"/>
      <c r="F21" s="22" t="s">
        <v>14</v>
      </c>
      <c r="G21" s="22"/>
      <c r="H21" s="22"/>
      <c r="I21" s="7"/>
      <c r="J21" s="7"/>
      <c r="K21" s="7"/>
      <c r="L21" s="7"/>
      <c r="M21" s="18">
        <f>M17-M19-M20</f>
        <v>72640</v>
      </c>
    </row>
    <row r="22" spans="5:13" ht="15.5" x14ac:dyDescent="0.35">
      <c r="E22" s="7"/>
      <c r="F22" s="7"/>
      <c r="G22" s="7"/>
      <c r="H22" s="7"/>
      <c r="I22" s="7"/>
      <c r="J22" s="7"/>
      <c r="K22" s="7"/>
      <c r="L22" s="7"/>
      <c r="M22" s="7"/>
    </row>
    <row r="23" spans="5:13" x14ac:dyDescent="0.3">
      <c r="E23" s="25"/>
      <c r="F23" s="25"/>
      <c r="G23" s="25"/>
      <c r="H23" s="25"/>
      <c r="I23" s="25"/>
      <c r="J23" s="25"/>
      <c r="K23" s="25"/>
      <c r="L23" s="25"/>
      <c r="M23" s="25"/>
    </row>
    <row r="24" spans="5:13" x14ac:dyDescent="0.3">
      <c r="E24" s="25"/>
      <c r="F24" s="25"/>
      <c r="G24" s="25"/>
      <c r="H24" s="25"/>
      <c r="I24" s="25"/>
      <c r="J24" s="25"/>
      <c r="K24" s="25"/>
      <c r="L24" s="25"/>
      <c r="M24" s="25"/>
    </row>
    <row r="25" spans="5:13" x14ac:dyDescent="0.3">
      <c r="E25" s="25"/>
      <c r="F25" s="25"/>
      <c r="G25" s="25"/>
      <c r="H25" s="25"/>
      <c r="I25" s="25"/>
      <c r="J25" s="25"/>
      <c r="K25" s="25"/>
      <c r="L25" s="25"/>
      <c r="M25" s="25"/>
    </row>
    <row r="26" spans="5:13" x14ac:dyDescent="0.3">
      <c r="E26" s="24" t="s">
        <v>15</v>
      </c>
      <c r="F26" s="24"/>
      <c r="G26" s="24"/>
      <c r="H26" s="24"/>
      <c r="I26" s="24"/>
      <c r="J26" s="24"/>
      <c r="K26" s="24"/>
      <c r="L26" s="24"/>
      <c r="M26" s="24"/>
    </row>
    <row r="27" spans="5:13" x14ac:dyDescent="0.3">
      <c r="E27" s="24"/>
      <c r="F27" s="24"/>
      <c r="G27" s="24"/>
      <c r="H27" s="24"/>
      <c r="I27" s="24"/>
      <c r="J27" s="24"/>
      <c r="K27" s="24"/>
      <c r="L27" s="24"/>
      <c r="M27" s="24"/>
    </row>
    <row r="28" spans="5:13" x14ac:dyDescent="0.3">
      <c r="E28" s="24"/>
      <c r="F28" s="24"/>
      <c r="G28" s="24"/>
      <c r="H28" s="24"/>
      <c r="I28" s="24"/>
      <c r="J28" s="24"/>
      <c r="K28" s="24"/>
      <c r="L28" s="24"/>
      <c r="M28" s="24"/>
    </row>
    <row r="29" spans="5:13" x14ac:dyDescent="0.3">
      <c r="E29" s="24"/>
      <c r="F29" s="24"/>
      <c r="G29" s="24"/>
      <c r="H29" s="24"/>
      <c r="I29" s="24"/>
      <c r="J29" s="24"/>
      <c r="K29" s="24"/>
      <c r="L29" s="24"/>
      <c r="M29" s="24"/>
    </row>
    <row r="30" spans="5:13" x14ac:dyDescent="0.3">
      <c r="E30" s="24"/>
      <c r="F30" s="24"/>
      <c r="G30" s="24"/>
      <c r="H30" s="24"/>
      <c r="I30" s="24"/>
      <c r="J30" s="24"/>
      <c r="K30" s="24"/>
      <c r="L30" s="24"/>
      <c r="M30" s="24"/>
    </row>
    <row r="31" spans="5:13" x14ac:dyDescent="0.3">
      <c r="E31" s="24"/>
      <c r="F31" s="24"/>
      <c r="G31" s="24"/>
      <c r="H31" s="24"/>
      <c r="I31" s="24"/>
      <c r="J31" s="24"/>
      <c r="K31" s="24"/>
      <c r="L31" s="24"/>
      <c r="M31" s="24"/>
    </row>
    <row r="32" spans="5:13" ht="15.5" x14ac:dyDescent="0.35">
      <c r="E32" s="7"/>
      <c r="F32" s="7"/>
      <c r="G32" s="7"/>
      <c r="H32" s="7"/>
      <c r="I32" s="7"/>
      <c r="J32" s="7"/>
      <c r="K32" s="7"/>
      <c r="L32" s="7"/>
      <c r="M32" s="7"/>
    </row>
    <row r="33" spans="5:13" ht="15.5" x14ac:dyDescent="0.35">
      <c r="E33" s="7"/>
      <c r="F33" s="7"/>
      <c r="G33" s="7"/>
      <c r="H33" s="7"/>
      <c r="I33" s="7"/>
      <c r="J33" s="7"/>
      <c r="K33" s="7"/>
      <c r="L33" s="7"/>
      <c r="M33" s="7"/>
    </row>
  </sheetData>
  <mergeCells count="29">
    <mergeCell ref="E2:M2"/>
    <mergeCell ref="E4:F4"/>
    <mergeCell ref="G4:J4"/>
    <mergeCell ref="K4:L4"/>
    <mergeCell ref="E5:F5"/>
    <mergeCell ref="G5:M5"/>
    <mergeCell ref="E9:M9"/>
    <mergeCell ref="F10:H10"/>
    <mergeCell ref="F11:H11"/>
    <mergeCell ref="F12:H12"/>
    <mergeCell ref="E6:J6"/>
    <mergeCell ref="L6:M6"/>
    <mergeCell ref="E7:F7"/>
    <mergeCell ref="G7:J7"/>
    <mergeCell ref="L7:M7"/>
    <mergeCell ref="E8:F8"/>
    <mergeCell ref="G8:M8"/>
    <mergeCell ref="E30:M31"/>
    <mergeCell ref="F13:L13"/>
    <mergeCell ref="F14:L14"/>
    <mergeCell ref="F15:L15"/>
    <mergeCell ref="F16:L16"/>
    <mergeCell ref="F18:M18"/>
    <mergeCell ref="F19:H19"/>
    <mergeCell ref="F20:H20"/>
    <mergeCell ref="F21:H21"/>
    <mergeCell ref="E23:M25"/>
    <mergeCell ref="E26:M27"/>
    <mergeCell ref="E28:M29"/>
  </mergeCells>
  <pageMargins left="0.7" right="0.7" top="0.75" bottom="0.75" header="0.3" footer="0.3"/>
  <pageSetup paperSize="9" scale="58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9D07-E096-4BBD-9659-87BC088CF6C4}">
  <sheetPr>
    <pageSetUpPr fitToPage="1"/>
  </sheetPr>
  <dimension ref="E2:M35"/>
  <sheetViews>
    <sheetView topLeftCell="B1" workbookViewId="0">
      <selection activeCell="E2" sqref="E2:M33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2.453125" style="1" customWidth="1"/>
    <col min="14" max="16384" width="8.6328125" style="1"/>
  </cols>
  <sheetData>
    <row r="2" spans="5:13" ht="17.5" x14ac:dyDescent="0.35">
      <c r="E2" s="20" t="s">
        <v>0</v>
      </c>
      <c r="F2" s="20"/>
      <c r="G2" s="20"/>
      <c r="H2" s="20"/>
      <c r="I2" s="20"/>
      <c r="J2" s="20"/>
      <c r="K2" s="20"/>
      <c r="L2" s="20"/>
      <c r="M2" s="20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1" t="s">
        <v>16</v>
      </c>
      <c r="F4" s="21"/>
      <c r="G4" s="22" t="s">
        <v>26</v>
      </c>
      <c r="H4" s="22"/>
      <c r="I4" s="22"/>
      <c r="J4" s="22"/>
      <c r="K4" s="23" t="s">
        <v>19</v>
      </c>
      <c r="L4" s="23"/>
      <c r="M4" s="7">
        <v>3</v>
      </c>
    </row>
    <row r="5" spans="5:13" ht="18.899999999999999" customHeight="1" x14ac:dyDescent="0.3">
      <c r="E5" s="24" t="s">
        <v>1</v>
      </c>
      <c r="F5" s="24"/>
      <c r="G5" s="25" t="s">
        <v>27</v>
      </c>
      <c r="H5" s="25"/>
      <c r="I5" s="25"/>
      <c r="J5" s="25"/>
      <c r="K5" s="25"/>
      <c r="L5" s="25"/>
      <c r="M5" s="25"/>
    </row>
    <row r="6" spans="5:13" ht="30.9" customHeight="1" x14ac:dyDescent="0.35">
      <c r="E6" s="26" t="s">
        <v>24</v>
      </c>
      <c r="F6" s="26"/>
      <c r="G6" s="26"/>
      <c r="H6" s="26"/>
      <c r="I6" s="26"/>
      <c r="J6" s="26"/>
      <c r="K6" s="8" t="s">
        <v>2</v>
      </c>
      <c r="L6" s="27">
        <v>45788</v>
      </c>
      <c r="M6" s="28"/>
    </row>
    <row r="7" spans="5:13" ht="20.149999999999999" customHeight="1" x14ac:dyDescent="0.3">
      <c r="E7" s="29" t="s">
        <v>3</v>
      </c>
      <c r="F7" s="29"/>
      <c r="G7" s="30" t="s">
        <v>28</v>
      </c>
      <c r="H7" s="30"/>
      <c r="I7" s="30"/>
      <c r="J7" s="30"/>
      <c r="K7" s="14" t="s">
        <v>17</v>
      </c>
      <c r="L7" s="27">
        <v>45788</v>
      </c>
      <c r="M7" s="28"/>
    </row>
    <row r="8" spans="5:13" ht="18.899999999999999" customHeight="1" x14ac:dyDescent="0.3">
      <c r="E8" s="24" t="s">
        <v>5</v>
      </c>
      <c r="F8" s="24"/>
      <c r="G8" s="25" t="s">
        <v>29</v>
      </c>
      <c r="H8" s="25"/>
      <c r="I8" s="25"/>
      <c r="J8" s="25"/>
      <c r="K8" s="25"/>
      <c r="L8" s="25"/>
      <c r="M8" s="25"/>
    </row>
    <row r="9" spans="5:13" ht="20.399999999999999" customHeight="1" x14ac:dyDescent="0.3">
      <c r="E9" s="24" t="s">
        <v>4</v>
      </c>
      <c r="F9" s="24"/>
      <c r="G9" s="24"/>
      <c r="H9" s="24"/>
      <c r="I9" s="24"/>
      <c r="J9" s="24"/>
      <c r="K9" s="24"/>
      <c r="L9" s="24"/>
      <c r="M9" s="24"/>
    </row>
    <row r="10" spans="5:13" ht="30" x14ac:dyDescent="0.3">
      <c r="E10" s="2" t="s">
        <v>12</v>
      </c>
      <c r="F10" s="31" t="s">
        <v>6</v>
      </c>
      <c r="G10" s="31"/>
      <c r="H10" s="31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19.5" customHeight="1" x14ac:dyDescent="0.3">
      <c r="E11" s="4">
        <v>1</v>
      </c>
      <c r="F11" s="30" t="s">
        <v>48</v>
      </c>
      <c r="G11" s="30"/>
      <c r="H11" s="30"/>
      <c r="I11" s="5">
        <v>1</v>
      </c>
      <c r="J11" s="12">
        <v>323</v>
      </c>
      <c r="K11" s="17" t="s">
        <v>34</v>
      </c>
      <c r="L11" s="4">
        <v>100</v>
      </c>
      <c r="M11" s="9">
        <f t="shared" ref="M11:M12" si="0">J11*L11*I11</f>
        <v>32300</v>
      </c>
    </row>
    <row r="12" spans="5:13" ht="20" customHeight="1" x14ac:dyDescent="0.3">
      <c r="E12" s="4">
        <v>2</v>
      </c>
      <c r="F12" s="30" t="s">
        <v>49</v>
      </c>
      <c r="G12" s="30"/>
      <c r="H12" s="30"/>
      <c r="I12" s="5">
        <v>1</v>
      </c>
      <c r="J12" s="19">
        <v>44</v>
      </c>
      <c r="K12" s="17" t="s">
        <v>34</v>
      </c>
      <c r="L12" s="4">
        <v>100</v>
      </c>
      <c r="M12" s="9">
        <f t="shared" si="0"/>
        <v>4400</v>
      </c>
    </row>
    <row r="13" spans="5:13" ht="19.5" customHeight="1" x14ac:dyDescent="0.3">
      <c r="E13" s="4">
        <v>3</v>
      </c>
      <c r="F13" s="30" t="s">
        <v>50</v>
      </c>
      <c r="G13" s="30"/>
      <c r="H13" s="30"/>
      <c r="I13" s="5">
        <v>1</v>
      </c>
      <c r="J13" s="12">
        <v>734</v>
      </c>
      <c r="K13" s="17" t="s">
        <v>25</v>
      </c>
      <c r="L13" s="4">
        <v>38</v>
      </c>
      <c r="M13" s="9">
        <f t="shared" ref="M13:M14" si="1">J13*L13*I13</f>
        <v>27892</v>
      </c>
    </row>
    <row r="14" spans="5:13" ht="20" customHeight="1" x14ac:dyDescent="0.3">
      <c r="E14" s="4">
        <v>4</v>
      </c>
      <c r="F14" s="30" t="s">
        <v>51</v>
      </c>
      <c r="G14" s="30"/>
      <c r="H14" s="30"/>
      <c r="I14" s="5">
        <v>1</v>
      </c>
      <c r="J14" s="19">
        <v>171</v>
      </c>
      <c r="K14" s="17" t="s">
        <v>34</v>
      </c>
      <c r="L14" s="4">
        <v>170</v>
      </c>
      <c r="M14" s="9">
        <f t="shared" si="1"/>
        <v>29070</v>
      </c>
    </row>
    <row r="15" spans="5:13" ht="17.399999999999999" customHeight="1" x14ac:dyDescent="0.35">
      <c r="E15" s="16"/>
      <c r="F15" s="32" t="s">
        <v>18</v>
      </c>
      <c r="G15" s="32"/>
      <c r="H15" s="32"/>
      <c r="I15" s="32"/>
      <c r="J15" s="32"/>
      <c r="K15" s="32"/>
      <c r="L15" s="32"/>
      <c r="M15" s="10">
        <f>SUM(M11:M14)</f>
        <v>93662</v>
      </c>
    </row>
    <row r="16" spans="5:13" ht="17.399999999999999" customHeight="1" x14ac:dyDescent="0.35">
      <c r="E16" s="16"/>
      <c r="F16" s="33" t="s">
        <v>20</v>
      </c>
      <c r="G16" s="33"/>
      <c r="H16" s="33"/>
      <c r="I16" s="33"/>
      <c r="J16" s="33"/>
      <c r="K16" s="33"/>
      <c r="L16" s="33"/>
      <c r="M16" s="6">
        <v>0</v>
      </c>
    </row>
    <row r="17" spans="5:13" ht="17.399999999999999" customHeight="1" x14ac:dyDescent="0.35">
      <c r="E17" s="16"/>
      <c r="F17" s="33" t="s">
        <v>21</v>
      </c>
      <c r="G17" s="33"/>
      <c r="H17" s="33"/>
      <c r="I17" s="33"/>
      <c r="J17" s="33"/>
      <c r="K17" s="33"/>
      <c r="L17" s="33"/>
      <c r="M17" s="6">
        <v>0</v>
      </c>
    </row>
    <row r="18" spans="5:13" ht="17.399999999999999" customHeight="1" x14ac:dyDescent="0.35">
      <c r="E18" s="16"/>
      <c r="F18" s="33" t="s">
        <v>23</v>
      </c>
      <c r="G18" s="33"/>
      <c r="H18" s="33"/>
      <c r="I18" s="33"/>
      <c r="J18" s="33"/>
      <c r="K18" s="33"/>
      <c r="L18" s="33"/>
      <c r="M18" s="10"/>
    </row>
    <row r="19" spans="5:13" ht="17.399999999999999" customHeight="1" x14ac:dyDescent="0.35">
      <c r="E19" s="16"/>
      <c r="F19" s="13"/>
      <c r="G19" s="13"/>
      <c r="H19" s="13"/>
      <c r="I19" s="13"/>
      <c r="J19" s="13"/>
      <c r="K19" s="13"/>
      <c r="L19" s="13"/>
      <c r="M19" s="10">
        <f>M15-M18+M16+M17</f>
        <v>93662</v>
      </c>
    </row>
    <row r="20" spans="5:13" ht="15.5" x14ac:dyDescent="0.35">
      <c r="E20" s="7"/>
      <c r="F20" s="34" t="s">
        <v>52</v>
      </c>
      <c r="G20" s="34"/>
      <c r="H20" s="34"/>
      <c r="I20" s="34"/>
      <c r="J20" s="34"/>
      <c r="K20" s="34"/>
      <c r="L20" s="34"/>
      <c r="M20" s="34"/>
    </row>
    <row r="21" spans="5:13" ht="15.5" x14ac:dyDescent="0.35">
      <c r="E21" s="16"/>
      <c r="F21" s="22" t="s">
        <v>13</v>
      </c>
      <c r="G21" s="22"/>
      <c r="H21" s="22"/>
      <c r="I21" s="7"/>
      <c r="J21" s="7"/>
      <c r="K21" s="7"/>
      <c r="L21" s="7"/>
      <c r="M21" s="11"/>
    </row>
    <row r="22" spans="5:13" ht="15.5" x14ac:dyDescent="0.35">
      <c r="E22" s="16"/>
      <c r="F22" s="22" t="s">
        <v>22</v>
      </c>
      <c r="G22" s="22"/>
      <c r="H22" s="22"/>
      <c r="I22" s="7"/>
      <c r="J22" s="7"/>
      <c r="K22" s="7"/>
      <c r="L22" s="7"/>
      <c r="M22" s="11"/>
    </row>
    <row r="23" spans="5:13" ht="15.5" x14ac:dyDescent="0.35">
      <c r="E23" s="16"/>
      <c r="F23" s="22" t="s">
        <v>14</v>
      </c>
      <c r="G23" s="22"/>
      <c r="H23" s="22"/>
      <c r="I23" s="7"/>
      <c r="J23" s="7"/>
      <c r="K23" s="7"/>
      <c r="L23" s="7"/>
      <c r="M23" s="18">
        <f>M19-M21-M22</f>
        <v>93662</v>
      </c>
    </row>
    <row r="24" spans="5:13" ht="15.5" x14ac:dyDescent="0.35">
      <c r="E24" s="7"/>
      <c r="F24" s="7"/>
      <c r="G24" s="7"/>
      <c r="H24" s="7"/>
      <c r="I24" s="7"/>
      <c r="J24" s="7"/>
      <c r="K24" s="7"/>
      <c r="L24" s="7"/>
      <c r="M24" s="7"/>
    </row>
    <row r="25" spans="5:13" x14ac:dyDescent="0.3">
      <c r="E25" s="25"/>
      <c r="F25" s="25"/>
      <c r="G25" s="25"/>
      <c r="H25" s="25"/>
      <c r="I25" s="25"/>
      <c r="J25" s="25"/>
      <c r="K25" s="25"/>
      <c r="L25" s="25"/>
      <c r="M25" s="25"/>
    </row>
    <row r="26" spans="5:13" x14ac:dyDescent="0.3">
      <c r="E26" s="25"/>
      <c r="F26" s="25"/>
      <c r="G26" s="25"/>
      <c r="H26" s="25"/>
      <c r="I26" s="25"/>
      <c r="J26" s="25"/>
      <c r="K26" s="25"/>
      <c r="L26" s="25"/>
      <c r="M26" s="25"/>
    </row>
    <row r="27" spans="5:13" x14ac:dyDescent="0.3">
      <c r="E27" s="25"/>
      <c r="F27" s="25"/>
      <c r="G27" s="25"/>
      <c r="H27" s="25"/>
      <c r="I27" s="25"/>
      <c r="J27" s="25"/>
      <c r="K27" s="25"/>
      <c r="L27" s="25"/>
      <c r="M27" s="25"/>
    </row>
    <row r="28" spans="5:13" x14ac:dyDescent="0.3">
      <c r="E28" s="24" t="s">
        <v>15</v>
      </c>
      <c r="F28" s="24"/>
      <c r="G28" s="24"/>
      <c r="H28" s="24"/>
      <c r="I28" s="24"/>
      <c r="J28" s="24"/>
      <c r="K28" s="24"/>
      <c r="L28" s="24"/>
      <c r="M28" s="24"/>
    </row>
    <row r="29" spans="5:13" x14ac:dyDescent="0.3">
      <c r="E29" s="24"/>
      <c r="F29" s="24"/>
      <c r="G29" s="24"/>
      <c r="H29" s="24"/>
      <c r="I29" s="24"/>
      <c r="J29" s="24"/>
      <c r="K29" s="24"/>
      <c r="L29" s="24"/>
      <c r="M29" s="24"/>
    </row>
    <row r="30" spans="5:13" x14ac:dyDescent="0.3">
      <c r="E30" s="24"/>
      <c r="F30" s="24"/>
      <c r="G30" s="24"/>
      <c r="H30" s="24"/>
      <c r="I30" s="24"/>
      <c r="J30" s="24"/>
      <c r="K30" s="24"/>
      <c r="L30" s="24"/>
      <c r="M30" s="24"/>
    </row>
    <row r="31" spans="5:13" x14ac:dyDescent="0.3">
      <c r="E31" s="24"/>
      <c r="F31" s="24"/>
      <c r="G31" s="24"/>
      <c r="H31" s="24"/>
      <c r="I31" s="24"/>
      <c r="J31" s="24"/>
      <c r="K31" s="24"/>
      <c r="L31" s="24"/>
      <c r="M31" s="24"/>
    </row>
    <row r="32" spans="5:13" x14ac:dyDescent="0.3">
      <c r="E32" s="24"/>
      <c r="F32" s="24"/>
      <c r="G32" s="24"/>
      <c r="H32" s="24"/>
      <c r="I32" s="24"/>
      <c r="J32" s="24"/>
      <c r="K32" s="24"/>
      <c r="L32" s="24"/>
      <c r="M32" s="24"/>
    </row>
    <row r="33" spans="5:13" x14ac:dyDescent="0.3">
      <c r="E33" s="24"/>
      <c r="F33" s="24"/>
      <c r="G33" s="24"/>
      <c r="H33" s="24"/>
      <c r="I33" s="24"/>
      <c r="J33" s="24"/>
      <c r="K33" s="24"/>
      <c r="L33" s="24"/>
      <c r="M33" s="24"/>
    </row>
    <row r="34" spans="5:13" ht="15.5" x14ac:dyDescent="0.35">
      <c r="E34" s="7"/>
      <c r="F34" s="7"/>
      <c r="G34" s="7"/>
      <c r="H34" s="7"/>
      <c r="I34" s="7"/>
      <c r="J34" s="7"/>
      <c r="K34" s="7"/>
      <c r="L34" s="7"/>
      <c r="M34" s="7"/>
    </row>
    <row r="35" spans="5:13" ht="15.5" x14ac:dyDescent="0.35">
      <c r="E35" s="7"/>
      <c r="F35" s="7"/>
      <c r="G35" s="7"/>
      <c r="H35" s="7"/>
      <c r="I35" s="7"/>
      <c r="J35" s="7"/>
      <c r="K35" s="7"/>
      <c r="L35" s="7"/>
      <c r="M35" s="7"/>
    </row>
  </sheetData>
  <mergeCells count="31">
    <mergeCell ref="E8:F8"/>
    <mergeCell ref="G8:M8"/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  <mergeCell ref="E9:M9"/>
    <mergeCell ref="F10:H10"/>
    <mergeCell ref="F13:H13"/>
    <mergeCell ref="F14:H14"/>
    <mergeCell ref="F15:L15"/>
    <mergeCell ref="E25:M27"/>
    <mergeCell ref="E28:M29"/>
    <mergeCell ref="E30:M31"/>
    <mergeCell ref="E32:M33"/>
    <mergeCell ref="F11:H11"/>
    <mergeCell ref="F12:H12"/>
    <mergeCell ref="F17:L17"/>
    <mergeCell ref="F18:L18"/>
    <mergeCell ref="F20:M20"/>
    <mergeCell ref="F21:H21"/>
    <mergeCell ref="F22:H22"/>
    <mergeCell ref="F23:H23"/>
    <mergeCell ref="F16:L16"/>
  </mergeCells>
  <pageMargins left="0.7" right="0.7" top="0.75" bottom="0.75" header="0.3" footer="0.3"/>
  <pageSetup paperSize="9" scale="58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E5E5-C540-4DD9-9D71-944A9064ACCD}">
  <sheetPr>
    <pageSetUpPr fitToPage="1"/>
  </sheetPr>
  <dimension ref="E2:M40"/>
  <sheetViews>
    <sheetView tabSelected="1" topLeftCell="B14" workbookViewId="0">
      <selection activeCell="F26" sqref="F26:H26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2.453125" style="1" customWidth="1"/>
    <col min="14" max="16384" width="8.6328125" style="1"/>
  </cols>
  <sheetData>
    <row r="2" spans="5:13" ht="17.5" x14ac:dyDescent="0.35">
      <c r="E2" s="20" t="s">
        <v>0</v>
      </c>
      <c r="F2" s="20"/>
      <c r="G2" s="20"/>
      <c r="H2" s="20"/>
      <c r="I2" s="20"/>
      <c r="J2" s="20"/>
      <c r="K2" s="20"/>
      <c r="L2" s="20"/>
      <c r="M2" s="20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1" t="s">
        <v>16</v>
      </c>
      <c r="F4" s="21"/>
      <c r="G4" s="22" t="s">
        <v>26</v>
      </c>
      <c r="H4" s="22"/>
      <c r="I4" s="22"/>
      <c r="J4" s="22"/>
      <c r="K4" s="23" t="s">
        <v>19</v>
      </c>
      <c r="L4" s="23"/>
      <c r="M4" s="7">
        <v>5</v>
      </c>
    </row>
    <row r="5" spans="5:13" ht="18.899999999999999" customHeight="1" x14ac:dyDescent="0.3">
      <c r="E5" s="24" t="s">
        <v>1</v>
      </c>
      <c r="F5" s="24"/>
      <c r="G5" s="25" t="s">
        <v>27</v>
      </c>
      <c r="H5" s="25"/>
      <c r="I5" s="25"/>
      <c r="J5" s="25"/>
      <c r="K5" s="25"/>
      <c r="L5" s="25"/>
      <c r="M5" s="25"/>
    </row>
    <row r="6" spans="5:13" ht="30.9" customHeight="1" x14ac:dyDescent="0.35">
      <c r="E6" s="26" t="s">
        <v>24</v>
      </c>
      <c r="F6" s="26"/>
      <c r="G6" s="26"/>
      <c r="H6" s="26"/>
      <c r="I6" s="26"/>
      <c r="J6" s="26"/>
      <c r="K6" s="8" t="s">
        <v>2</v>
      </c>
      <c r="L6" s="27">
        <v>45809</v>
      </c>
      <c r="M6" s="28"/>
    </row>
    <row r="7" spans="5:13" ht="20.149999999999999" customHeight="1" x14ac:dyDescent="0.3">
      <c r="E7" s="29" t="s">
        <v>3</v>
      </c>
      <c r="F7" s="29"/>
      <c r="G7" s="30" t="s">
        <v>28</v>
      </c>
      <c r="H7" s="30"/>
      <c r="I7" s="30"/>
      <c r="J7" s="30"/>
      <c r="K7" s="14" t="s">
        <v>17</v>
      </c>
      <c r="L7" s="27">
        <v>45809</v>
      </c>
      <c r="M7" s="28"/>
    </row>
    <row r="8" spans="5:13" ht="18.899999999999999" customHeight="1" x14ac:dyDescent="0.3">
      <c r="E8" s="24" t="s">
        <v>5</v>
      </c>
      <c r="F8" s="24"/>
      <c r="G8" s="25" t="s">
        <v>29</v>
      </c>
      <c r="H8" s="25"/>
      <c r="I8" s="25"/>
      <c r="J8" s="25"/>
      <c r="K8" s="25"/>
      <c r="L8" s="25"/>
      <c r="M8" s="25"/>
    </row>
    <row r="9" spans="5:13" ht="20.399999999999999" customHeight="1" x14ac:dyDescent="0.3">
      <c r="E9" s="24" t="s">
        <v>4</v>
      </c>
      <c r="F9" s="24"/>
      <c r="G9" s="24"/>
      <c r="H9" s="24"/>
      <c r="I9" s="24"/>
      <c r="J9" s="24"/>
      <c r="K9" s="24"/>
      <c r="L9" s="24"/>
      <c r="M9" s="24"/>
    </row>
    <row r="10" spans="5:13" ht="30" x14ac:dyDescent="0.3">
      <c r="E10" s="2" t="s">
        <v>12</v>
      </c>
      <c r="F10" s="31" t="s">
        <v>6</v>
      </c>
      <c r="G10" s="31"/>
      <c r="H10" s="31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19.5" customHeight="1" x14ac:dyDescent="0.3">
      <c r="E11" s="4">
        <v>1</v>
      </c>
      <c r="F11" s="30" t="s">
        <v>53</v>
      </c>
      <c r="G11" s="30"/>
      <c r="H11" s="30"/>
      <c r="I11" s="5">
        <v>1</v>
      </c>
      <c r="J11" s="12">
        <v>24</v>
      </c>
      <c r="K11" s="17" t="s">
        <v>34</v>
      </c>
      <c r="L11" s="4">
        <v>170</v>
      </c>
      <c r="M11" s="9">
        <f t="shared" ref="M11:M14" si="0">J11*L11*I11</f>
        <v>4080</v>
      </c>
    </row>
    <row r="12" spans="5:13" ht="20" customHeight="1" x14ac:dyDescent="0.3">
      <c r="E12" s="4">
        <v>2</v>
      </c>
      <c r="F12" s="30" t="s">
        <v>54</v>
      </c>
      <c r="G12" s="30"/>
      <c r="H12" s="30"/>
      <c r="I12" s="5">
        <v>1</v>
      </c>
      <c r="J12" s="12">
        <v>37</v>
      </c>
      <c r="K12" s="17" t="s">
        <v>34</v>
      </c>
      <c r="L12" s="4">
        <v>100</v>
      </c>
      <c r="M12" s="9">
        <f t="shared" si="0"/>
        <v>3700</v>
      </c>
    </row>
    <row r="13" spans="5:13" ht="19.5" customHeight="1" x14ac:dyDescent="0.3">
      <c r="E13" s="4">
        <v>3</v>
      </c>
      <c r="F13" s="30" t="s">
        <v>55</v>
      </c>
      <c r="G13" s="30"/>
      <c r="H13" s="30"/>
      <c r="I13" s="5">
        <v>1</v>
      </c>
      <c r="J13" s="37">
        <v>56.88</v>
      </c>
      <c r="K13" s="17" t="s">
        <v>25</v>
      </c>
      <c r="L13" s="4">
        <v>160</v>
      </c>
      <c r="M13" s="9">
        <f t="shared" si="0"/>
        <v>9100.8000000000011</v>
      </c>
    </row>
    <row r="14" spans="5:13" ht="20" customHeight="1" x14ac:dyDescent="0.3">
      <c r="E14" s="4">
        <v>4</v>
      </c>
      <c r="F14" s="30" t="s">
        <v>56</v>
      </c>
      <c r="G14" s="30"/>
      <c r="H14" s="30"/>
      <c r="I14" s="5">
        <v>1</v>
      </c>
      <c r="J14" s="19">
        <v>60.13</v>
      </c>
      <c r="K14" s="17" t="s">
        <v>25</v>
      </c>
      <c r="L14" s="4">
        <v>30</v>
      </c>
      <c r="M14" s="9">
        <f t="shared" si="0"/>
        <v>1803.9</v>
      </c>
    </row>
    <row r="15" spans="5:13" ht="19.5" customHeight="1" x14ac:dyDescent="0.3">
      <c r="E15" s="4">
        <v>5</v>
      </c>
      <c r="F15" s="30" t="s">
        <v>57</v>
      </c>
      <c r="G15" s="30"/>
      <c r="H15" s="30"/>
      <c r="I15" s="5">
        <v>1</v>
      </c>
      <c r="J15" s="36">
        <v>70</v>
      </c>
      <c r="K15" s="17" t="s">
        <v>25</v>
      </c>
      <c r="L15" s="4">
        <v>38</v>
      </c>
      <c r="M15" s="9">
        <f t="shared" ref="M15:M19" si="1">J15*L15*I15</f>
        <v>2660</v>
      </c>
    </row>
    <row r="16" spans="5:13" ht="20" customHeight="1" x14ac:dyDescent="0.3">
      <c r="E16" s="4">
        <v>6</v>
      </c>
      <c r="F16" s="30" t="s">
        <v>58</v>
      </c>
      <c r="G16" s="30"/>
      <c r="H16" s="30"/>
      <c r="I16" s="5">
        <v>1</v>
      </c>
      <c r="J16" s="19">
        <v>82.81</v>
      </c>
      <c r="K16" s="17" t="s">
        <v>25</v>
      </c>
      <c r="L16" s="4">
        <v>38</v>
      </c>
      <c r="M16" s="9">
        <f t="shared" ref="M16" si="2">J16*L16*I16</f>
        <v>3146.78</v>
      </c>
    </row>
    <row r="17" spans="5:13" ht="20" customHeight="1" x14ac:dyDescent="0.3">
      <c r="E17" s="4">
        <v>7</v>
      </c>
      <c r="F17" s="30" t="s">
        <v>59</v>
      </c>
      <c r="G17" s="30"/>
      <c r="H17" s="30"/>
      <c r="I17" s="5">
        <v>1</v>
      </c>
      <c r="J17" s="19">
        <v>192</v>
      </c>
      <c r="K17" s="17" t="s">
        <v>25</v>
      </c>
      <c r="L17" s="4">
        <v>28</v>
      </c>
      <c r="M17" s="9">
        <f t="shared" si="1"/>
        <v>5376</v>
      </c>
    </row>
    <row r="18" spans="5:13" ht="19.5" customHeight="1" x14ac:dyDescent="0.3">
      <c r="E18" s="4">
        <v>8</v>
      </c>
      <c r="F18" s="30" t="s">
        <v>60</v>
      </c>
      <c r="G18" s="30"/>
      <c r="H18" s="30"/>
      <c r="I18" s="5">
        <v>1</v>
      </c>
      <c r="J18" s="36">
        <v>24.5</v>
      </c>
      <c r="K18" s="17" t="s">
        <v>25</v>
      </c>
      <c r="L18" s="4">
        <v>170</v>
      </c>
      <c r="M18" s="9">
        <f t="shared" si="1"/>
        <v>4165</v>
      </c>
    </row>
    <row r="19" spans="5:13" ht="20" customHeight="1" x14ac:dyDescent="0.3">
      <c r="E19" s="4">
        <v>9</v>
      </c>
      <c r="F19" s="30" t="s">
        <v>61</v>
      </c>
      <c r="G19" s="30"/>
      <c r="H19" s="30"/>
      <c r="I19" s="5">
        <v>1</v>
      </c>
      <c r="J19" s="19">
        <v>147</v>
      </c>
      <c r="K19" s="17" t="s">
        <v>25</v>
      </c>
      <c r="L19" s="4">
        <v>160</v>
      </c>
      <c r="M19" s="9">
        <f t="shared" si="1"/>
        <v>23520</v>
      </c>
    </row>
    <row r="20" spans="5:13" ht="17.399999999999999" customHeight="1" x14ac:dyDescent="0.35">
      <c r="E20" s="16"/>
      <c r="F20" s="32" t="s">
        <v>18</v>
      </c>
      <c r="G20" s="32"/>
      <c r="H20" s="32"/>
      <c r="I20" s="32"/>
      <c r="J20" s="32"/>
      <c r="K20" s="32"/>
      <c r="L20" s="32"/>
      <c r="M20" s="10">
        <f>SUM(M11:M19)</f>
        <v>57552.480000000003</v>
      </c>
    </row>
    <row r="21" spans="5:13" ht="17.399999999999999" customHeight="1" x14ac:dyDescent="0.35">
      <c r="E21" s="16"/>
      <c r="F21" s="33" t="s">
        <v>20</v>
      </c>
      <c r="G21" s="33"/>
      <c r="H21" s="33"/>
      <c r="I21" s="33"/>
      <c r="J21" s="33"/>
      <c r="K21" s="33"/>
      <c r="L21" s="33"/>
      <c r="M21" s="6">
        <v>0</v>
      </c>
    </row>
    <row r="22" spans="5:13" ht="17.399999999999999" customHeight="1" x14ac:dyDescent="0.35">
      <c r="E22" s="16"/>
      <c r="F22" s="33" t="s">
        <v>21</v>
      </c>
      <c r="G22" s="33"/>
      <c r="H22" s="33"/>
      <c r="I22" s="33"/>
      <c r="J22" s="33"/>
      <c r="K22" s="33"/>
      <c r="L22" s="33"/>
      <c r="M22" s="6">
        <v>0</v>
      </c>
    </row>
    <row r="23" spans="5:13" ht="17.399999999999999" customHeight="1" x14ac:dyDescent="0.35">
      <c r="E23" s="16"/>
      <c r="F23" s="33" t="s">
        <v>23</v>
      </c>
      <c r="G23" s="33"/>
      <c r="H23" s="33"/>
      <c r="I23" s="33"/>
      <c r="J23" s="33"/>
      <c r="K23" s="33"/>
      <c r="L23" s="33"/>
      <c r="M23" s="10"/>
    </row>
    <row r="24" spans="5:13" ht="17.399999999999999" customHeight="1" x14ac:dyDescent="0.35">
      <c r="E24" s="16"/>
      <c r="F24" s="13"/>
      <c r="G24" s="13"/>
      <c r="H24" s="13"/>
      <c r="I24" s="13"/>
      <c r="J24" s="13"/>
      <c r="K24" s="13"/>
      <c r="L24" s="13"/>
      <c r="M24" s="10">
        <f>M20-M23+M21+M22</f>
        <v>57552.480000000003</v>
      </c>
    </row>
    <row r="25" spans="5:13" ht="15.5" x14ac:dyDescent="0.35">
      <c r="E25" s="7"/>
      <c r="F25" s="34" t="s">
        <v>62</v>
      </c>
      <c r="G25" s="34"/>
      <c r="H25" s="34"/>
      <c r="I25" s="34"/>
      <c r="J25" s="34"/>
      <c r="K25" s="34"/>
      <c r="L25" s="34"/>
      <c r="M25" s="34"/>
    </row>
    <row r="26" spans="5:13" ht="15.5" x14ac:dyDescent="0.35">
      <c r="E26" s="16"/>
      <c r="F26" s="22" t="s">
        <v>13</v>
      </c>
      <c r="G26" s="22"/>
      <c r="H26" s="22"/>
      <c r="I26" s="7"/>
      <c r="J26" s="7"/>
      <c r="K26" s="7"/>
      <c r="L26" s="7"/>
      <c r="M26" s="11"/>
    </row>
    <row r="27" spans="5:13" ht="15.5" x14ac:dyDescent="0.35">
      <c r="E27" s="16"/>
      <c r="F27" s="22" t="s">
        <v>22</v>
      </c>
      <c r="G27" s="22"/>
      <c r="H27" s="22"/>
      <c r="I27" s="7"/>
      <c r="J27" s="7"/>
      <c r="K27" s="7"/>
      <c r="L27" s="7"/>
      <c r="M27" s="11"/>
    </row>
    <row r="28" spans="5:13" ht="15.5" x14ac:dyDescent="0.35">
      <c r="E28" s="16"/>
      <c r="F28" s="22" t="s">
        <v>14</v>
      </c>
      <c r="G28" s="22"/>
      <c r="H28" s="22"/>
      <c r="I28" s="7"/>
      <c r="J28" s="7"/>
      <c r="K28" s="7"/>
      <c r="L28" s="7"/>
      <c r="M28" s="18">
        <f>M24-M26-M27</f>
        <v>57552.480000000003</v>
      </c>
    </row>
    <row r="29" spans="5:13" ht="15.5" x14ac:dyDescent="0.35">
      <c r="E29" s="7"/>
      <c r="F29" s="7"/>
      <c r="G29" s="7"/>
      <c r="H29" s="7"/>
      <c r="I29" s="7"/>
      <c r="J29" s="7"/>
      <c r="K29" s="7"/>
      <c r="L29" s="7"/>
      <c r="M29" s="7"/>
    </row>
    <row r="30" spans="5:13" x14ac:dyDescent="0.3">
      <c r="E30" s="25"/>
      <c r="F30" s="25"/>
      <c r="G30" s="25"/>
      <c r="H30" s="25"/>
      <c r="I30" s="25"/>
      <c r="J30" s="25"/>
      <c r="K30" s="25"/>
      <c r="L30" s="25"/>
      <c r="M30" s="25"/>
    </row>
    <row r="31" spans="5:13" x14ac:dyDescent="0.3">
      <c r="E31" s="25"/>
      <c r="F31" s="25"/>
      <c r="G31" s="25"/>
      <c r="H31" s="25"/>
      <c r="I31" s="25"/>
      <c r="J31" s="25"/>
      <c r="K31" s="25"/>
      <c r="L31" s="25"/>
      <c r="M31" s="25"/>
    </row>
    <row r="32" spans="5:13" x14ac:dyDescent="0.3">
      <c r="E32" s="25"/>
      <c r="F32" s="25"/>
      <c r="G32" s="25"/>
      <c r="H32" s="25"/>
      <c r="I32" s="25"/>
      <c r="J32" s="25"/>
      <c r="K32" s="25"/>
      <c r="L32" s="25"/>
      <c r="M32" s="25"/>
    </row>
    <row r="33" spans="5:13" x14ac:dyDescent="0.3">
      <c r="E33" s="24" t="s">
        <v>15</v>
      </c>
      <c r="F33" s="24"/>
      <c r="G33" s="24"/>
      <c r="H33" s="24"/>
      <c r="I33" s="24"/>
      <c r="J33" s="24"/>
      <c r="K33" s="24"/>
      <c r="L33" s="24"/>
      <c r="M33" s="24"/>
    </row>
    <row r="34" spans="5:13" x14ac:dyDescent="0.3">
      <c r="E34" s="24"/>
      <c r="F34" s="24"/>
      <c r="G34" s="24"/>
      <c r="H34" s="24"/>
      <c r="I34" s="24"/>
      <c r="J34" s="24"/>
      <c r="K34" s="24"/>
      <c r="L34" s="24"/>
      <c r="M34" s="24"/>
    </row>
    <row r="35" spans="5:13" x14ac:dyDescent="0.3">
      <c r="E35" s="24"/>
      <c r="F35" s="24"/>
      <c r="G35" s="24"/>
      <c r="H35" s="24"/>
      <c r="I35" s="24"/>
      <c r="J35" s="24"/>
      <c r="K35" s="24"/>
      <c r="L35" s="24"/>
      <c r="M35" s="24"/>
    </row>
    <row r="36" spans="5:13" x14ac:dyDescent="0.3">
      <c r="E36" s="24"/>
      <c r="F36" s="24"/>
      <c r="G36" s="24"/>
      <c r="H36" s="24"/>
      <c r="I36" s="24"/>
      <c r="J36" s="24"/>
      <c r="K36" s="24"/>
      <c r="L36" s="24"/>
      <c r="M36" s="24"/>
    </row>
    <row r="37" spans="5:13" x14ac:dyDescent="0.3">
      <c r="E37" s="24"/>
      <c r="F37" s="24"/>
      <c r="G37" s="24"/>
      <c r="H37" s="24"/>
      <c r="I37" s="24"/>
      <c r="J37" s="24"/>
      <c r="K37" s="24"/>
      <c r="L37" s="24"/>
      <c r="M37" s="24"/>
    </row>
    <row r="38" spans="5:13" x14ac:dyDescent="0.3">
      <c r="E38" s="24"/>
      <c r="F38" s="24"/>
      <c r="G38" s="24"/>
      <c r="H38" s="24"/>
      <c r="I38" s="24"/>
      <c r="J38" s="24"/>
      <c r="K38" s="24"/>
      <c r="L38" s="24"/>
      <c r="M38" s="24"/>
    </row>
    <row r="39" spans="5:13" ht="15.5" x14ac:dyDescent="0.35">
      <c r="E39" s="7"/>
      <c r="F39" s="7"/>
      <c r="G39" s="7"/>
      <c r="H39" s="7"/>
      <c r="I39" s="7"/>
      <c r="J39" s="7"/>
      <c r="K39" s="7"/>
      <c r="L39" s="7"/>
      <c r="M39" s="7"/>
    </row>
    <row r="40" spans="5:13" ht="15.5" x14ac:dyDescent="0.35">
      <c r="E40" s="7"/>
      <c r="F40" s="7"/>
      <c r="G40" s="7"/>
      <c r="H40" s="7"/>
      <c r="I40" s="7"/>
      <c r="J40" s="7"/>
      <c r="K40" s="7"/>
      <c r="L40" s="7"/>
      <c r="M40" s="7"/>
    </row>
  </sheetData>
  <mergeCells count="36">
    <mergeCell ref="F16:H16"/>
    <mergeCell ref="F27:H27"/>
    <mergeCell ref="F28:H28"/>
    <mergeCell ref="E30:M32"/>
    <mergeCell ref="E33:M34"/>
    <mergeCell ref="E35:M36"/>
    <mergeCell ref="E37:M38"/>
    <mergeCell ref="F20:L20"/>
    <mergeCell ref="F21:L21"/>
    <mergeCell ref="F22:L22"/>
    <mergeCell ref="F23:L23"/>
    <mergeCell ref="F25:M25"/>
    <mergeCell ref="F26:H26"/>
    <mergeCell ref="E9:M9"/>
    <mergeCell ref="F10:H10"/>
    <mergeCell ref="F15:H15"/>
    <mergeCell ref="F17:H17"/>
    <mergeCell ref="F18:H18"/>
    <mergeCell ref="F19:H19"/>
    <mergeCell ref="F11:H11"/>
    <mergeCell ref="F12:H12"/>
    <mergeCell ref="F13:H13"/>
    <mergeCell ref="F14:H14"/>
    <mergeCell ref="E6:J6"/>
    <mergeCell ref="L6:M6"/>
    <mergeCell ref="E7:F7"/>
    <mergeCell ref="G7:J7"/>
    <mergeCell ref="L7:M7"/>
    <mergeCell ref="E8:F8"/>
    <mergeCell ref="G8:M8"/>
    <mergeCell ref="E2:M2"/>
    <mergeCell ref="E4:F4"/>
    <mergeCell ref="G4:J4"/>
    <mergeCell ref="K4:L4"/>
    <mergeCell ref="E5:F5"/>
    <mergeCell ref="G5:M5"/>
  </mergeCells>
  <pageMargins left="0.7" right="0.7" top="0.75" bottom="0.75" header="0.3" footer="0.3"/>
  <pageSetup paperSize="9" scale="58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Bill-1</vt:lpstr>
      <vt:lpstr>Bill-2</vt:lpstr>
      <vt:lpstr>Bill-3</vt:lpstr>
      <vt:lpstr>Bill-4</vt:lpstr>
      <vt:lpstr>Bill-5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2025-05-10T13:22:31Z</cp:lastPrinted>
  <dcterms:created xsi:type="dcterms:W3CDTF">2017-06-28T08:31:23Z</dcterms:created>
  <dcterms:modified xsi:type="dcterms:W3CDTF">2025-05-29T10:59:12Z</dcterms:modified>
</cp:coreProperties>
</file>