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3C3DFCAA-BAD8-4F6B-850F-DC2F33A75B4B}" xr6:coauthVersionLast="47" xr6:coauthVersionMax="47" xr10:uidLastSave="{00000000-0000-0000-0000-000000000000}"/>
  <bookViews>
    <workbookView xWindow="-110" yWindow="-110" windowWidth="19420" windowHeight="10300" firstSheet="7" activeTab="15" xr2:uid="{00000000-000D-0000-FFFF-FFFF00000000}"/>
  </bookViews>
  <sheets>
    <sheet name="Bill-1" sheetId="5" r:id="rId1"/>
    <sheet name="Bill-2" sheetId="6" r:id="rId2"/>
    <sheet name="Bill-3" sheetId="7" r:id="rId3"/>
    <sheet name="Bill-4" sheetId="10" r:id="rId4"/>
    <sheet name="Bill-5" sheetId="8" r:id="rId5"/>
    <sheet name="Bill-6" sheetId="11" r:id="rId6"/>
    <sheet name="Bill-7" sheetId="12" r:id="rId7"/>
    <sheet name="Bill-8" sheetId="13" r:id="rId8"/>
    <sheet name="Bill-9" sheetId="14" r:id="rId9"/>
    <sheet name="Bill-10" sheetId="15" r:id="rId10"/>
    <sheet name="Bill-11" sheetId="16" r:id="rId11"/>
    <sheet name="Bill-12" sheetId="17" r:id="rId12"/>
    <sheet name="Bill-13" sheetId="18" r:id="rId13"/>
    <sheet name="Bill-14" sheetId="19" r:id="rId14"/>
    <sheet name="Bill-15" sheetId="20" r:id="rId15"/>
    <sheet name="Bill-16" sheetId="21" r:id="rId16"/>
    <sheet name="Sheet1" sheetId="9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21" l="1"/>
  <c r="M13" i="21"/>
  <c r="M12" i="21"/>
  <c r="M11" i="21"/>
  <c r="M28" i="20"/>
  <c r="M30" i="20"/>
  <c r="M29" i="20"/>
  <c r="M26" i="20"/>
  <c r="M18" i="20"/>
  <c r="M17" i="20"/>
  <c r="M16" i="20"/>
  <c r="M15" i="20"/>
  <c r="M14" i="20"/>
  <c r="M13" i="20"/>
  <c r="M12" i="20"/>
  <c r="M11" i="20"/>
  <c r="M27" i="20"/>
  <c r="M25" i="20"/>
  <c r="M24" i="20"/>
  <c r="M23" i="20"/>
  <c r="M22" i="20"/>
  <c r="M21" i="20"/>
  <c r="M20" i="20"/>
  <c r="M19" i="20"/>
  <c r="M19" i="19"/>
  <c r="M14" i="19"/>
  <c r="M13" i="19"/>
  <c r="M12" i="19"/>
  <c r="M11" i="19"/>
  <c r="M16" i="19"/>
  <c r="M15" i="19"/>
  <c r="M18" i="19"/>
  <c r="M17" i="19"/>
  <c r="M12" i="18"/>
  <c r="M11" i="18"/>
  <c r="M14" i="17"/>
  <c r="M12" i="17"/>
  <c r="M11" i="17"/>
  <c r="M13" i="17"/>
  <c r="M11" i="16"/>
  <c r="M12" i="16" s="1"/>
  <c r="M13" i="15"/>
  <c r="M12" i="15"/>
  <c r="M11" i="15"/>
  <c r="M19" i="14"/>
  <c r="M15" i="14"/>
  <c r="M14" i="14"/>
  <c r="M13" i="14"/>
  <c r="M12" i="14"/>
  <c r="M16" i="14"/>
  <c r="M17" i="14"/>
  <c r="M18" i="14"/>
  <c r="M20" i="14"/>
  <c r="M11" i="14"/>
  <c r="M12" i="13"/>
  <c r="M11" i="13"/>
  <c r="M16" i="12"/>
  <c r="M15" i="12"/>
  <c r="M18" i="12"/>
  <c r="M17" i="12"/>
  <c r="M14" i="12"/>
  <c r="M13" i="12"/>
  <c r="M12" i="12"/>
  <c r="M11" i="12"/>
  <c r="O14" i="5"/>
  <c r="P14" i="5"/>
  <c r="M17" i="11"/>
  <c r="M11" i="11"/>
  <c r="M16" i="11"/>
  <c r="M15" i="11"/>
  <c r="M14" i="11"/>
  <c r="M13" i="11"/>
  <c r="M12" i="11"/>
  <c r="M11" i="10"/>
  <c r="M12" i="10" s="1"/>
  <c r="M13" i="8"/>
  <c r="M12" i="8"/>
  <c r="M15" i="8"/>
  <c r="M14" i="8"/>
  <c r="M11" i="8"/>
  <c r="M13" i="7"/>
  <c r="M12" i="7"/>
  <c r="M11" i="7"/>
  <c r="M15" i="6"/>
  <c r="M13" i="6"/>
  <c r="M17" i="6" s="1"/>
  <c r="M12" i="6"/>
  <c r="M11" i="6"/>
  <c r="M20" i="19" l="1"/>
  <c r="M21" i="19"/>
  <c r="M13" i="18"/>
  <c r="M15" i="18"/>
  <c r="M14" i="18"/>
  <c r="M17" i="18" s="1"/>
  <c r="M21" i="18" s="1"/>
  <c r="M15" i="17"/>
  <c r="M16" i="17"/>
  <c r="M14" i="16"/>
  <c r="M13" i="16"/>
  <c r="M16" i="16" s="1"/>
  <c r="M20" i="16" s="1"/>
  <c r="M14" i="15"/>
  <c r="M16" i="15" s="1"/>
  <c r="M21" i="14"/>
  <c r="M23" i="14" s="1"/>
  <c r="M13" i="13"/>
  <c r="M15" i="13" s="1"/>
  <c r="M17" i="13" s="1"/>
  <c r="M21" i="13" s="1"/>
  <c r="M14" i="13"/>
  <c r="M19" i="12"/>
  <c r="M21" i="12" s="1"/>
  <c r="M20" i="12"/>
  <c r="M19" i="11"/>
  <c r="M18" i="11"/>
  <c r="M14" i="10"/>
  <c r="M13" i="10"/>
  <c r="M16" i="10" s="1"/>
  <c r="M20" i="10" s="1"/>
  <c r="M16" i="8"/>
  <c r="M18" i="8"/>
  <c r="M17" i="8"/>
  <c r="M14" i="7"/>
  <c r="M16" i="7" s="1"/>
  <c r="M15" i="7"/>
  <c r="M16" i="6"/>
  <c r="M14" i="6"/>
  <c r="M17" i="5"/>
  <c r="M15" i="5"/>
  <c r="M14" i="5"/>
  <c r="M12" i="5"/>
  <c r="M11" i="5"/>
  <c r="M16" i="21" l="1"/>
  <c r="M20" i="21" s="1"/>
  <c r="M32" i="20"/>
  <c r="M36" i="20" s="1"/>
  <c r="M23" i="19"/>
  <c r="M27" i="19" s="1"/>
  <c r="M18" i="17"/>
  <c r="M22" i="17" s="1"/>
  <c r="M15" i="15"/>
  <c r="M18" i="15" s="1"/>
  <c r="M22" i="15" s="1"/>
  <c r="M22" i="14"/>
  <c r="M25" i="14"/>
  <c r="M29" i="14" s="1"/>
  <c r="M23" i="12"/>
  <c r="M27" i="12" s="1"/>
  <c r="M21" i="11"/>
  <c r="M25" i="11" s="1"/>
  <c r="M20" i="8"/>
  <c r="M24" i="8" s="1"/>
  <c r="M18" i="7"/>
  <c r="M22" i="7" s="1"/>
  <c r="M19" i="6"/>
  <c r="M13" i="5"/>
  <c r="M18" i="6" l="1"/>
  <c r="M21" i="6"/>
  <c r="M25" i="6" s="1"/>
  <c r="M21" i="5"/>
</calcChain>
</file>

<file path=xl/sharedStrings.xml><?xml version="1.0" encoding="utf-8"?>
<sst xmlns="http://schemas.openxmlformats.org/spreadsheetml/2006/main" count="651" uniqueCount="128">
  <si>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</si>
  <si>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</si>
  <si>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</si>
  <si>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</si>
  <si>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</si>
  <si>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</si>
  <si>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</si>
  <si>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</si>
  <si>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</si>
  <si>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</si>
  <si>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</si>
  <si>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</si>
  <si>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</si>
  <si>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</si>
  <si>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</si>
  <si>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</si>
  <si>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</si>
  <si>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</si>
  <si>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</si>
  <si>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</si>
  <si>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</si>
  <si>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</si>
  <si>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</si>
  <si>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</si>
  <si>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To, 
Tanvi Infracon</t>
  </si>
  <si>
    <t>Northern Star</t>
  </si>
  <si>
    <t>Chinmaybhai</t>
  </si>
  <si>
    <t>Fire Fighting Work</t>
  </si>
  <si>
    <t>Jindal C class GI pipes 100mm Dia.</t>
  </si>
  <si>
    <t>R.mt.</t>
  </si>
  <si>
    <t>Jindal C class GI pipes 80mm Dia.</t>
  </si>
  <si>
    <t>Two Lakh Thirty Two Thousand Four Hundred Fifty Only</t>
  </si>
  <si>
    <t>NSE/24-25/0318</t>
  </si>
  <si>
    <t>Jindal C class GI pipes 65mm Dia.</t>
  </si>
  <si>
    <t>Jindal C class GI pipes 50mm Dia.</t>
  </si>
  <si>
    <t>Jindal C class GI pipes 32mm Dia.</t>
  </si>
  <si>
    <t>Jindal C class GI pipes 25mm Dia.</t>
  </si>
  <si>
    <t>Six Lakh Thirty Eight Thousand Three Hundred Twenty One only</t>
  </si>
  <si>
    <t>NSE/24-25/0420</t>
  </si>
  <si>
    <t>Jindal C class GI pipes 150mm Dia.</t>
  </si>
  <si>
    <t>Four Lakh Fifteen Thousand Nine Hundred Sixty Only</t>
  </si>
  <si>
    <t>NSE/24-25/0496</t>
  </si>
  <si>
    <t>Jindal C class GI pipes 40mm Dia.</t>
  </si>
  <si>
    <t>Three Lakh Thirty Two Thousand Six Hundred Eighty Five Only</t>
  </si>
  <si>
    <t>NSE/24-25/0459</t>
  </si>
  <si>
    <t>Asian C class GI pipes 25mm Dia.</t>
  </si>
  <si>
    <t>Sixty Nine Thousand Eight Hundred Three Only</t>
  </si>
  <si>
    <t>NSE/24-25/0713</t>
  </si>
  <si>
    <t>Asian C class GI pipes 80mm Dia.</t>
  </si>
  <si>
    <t>Asian C class GI pipes 50mm Dia.</t>
  </si>
  <si>
    <t>Asian C class GI pipes 40mm Dia.</t>
  </si>
  <si>
    <t>Asian C class GI pipes 32mm Dia.</t>
  </si>
  <si>
    <t>Asian C class GI pipes 100mm Dia.</t>
  </si>
  <si>
    <t>Five Lakh Twenty Five Thousand Nine Hundred Fourty Five Only</t>
  </si>
  <si>
    <t>Installation of Asian C class GI pipes 150mm Dia.</t>
  </si>
  <si>
    <t>Installation of Asian C class GI pipes 100mm Dia.</t>
  </si>
  <si>
    <t>Installation of Asian C class GI pipes 80mm Dia.</t>
  </si>
  <si>
    <t>Installation of Asian C class GI pipes 65mm Dia.</t>
  </si>
  <si>
    <t>Installation of Asian C class GI pipes 50mm Dia.</t>
  </si>
  <si>
    <t>Installation of Asian C class GI pipes 40mm Dia.</t>
  </si>
  <si>
    <t>Installation of Asian C class GI pipes 32mm Dia.</t>
  </si>
  <si>
    <t>Installation of Asian C class GI pipes 25mm Dia.</t>
  </si>
  <si>
    <t>Three Lakh Seventy One Thousand Seventy Nine Only</t>
  </si>
  <si>
    <t>NSE/24-25/0809</t>
  </si>
  <si>
    <t>NSE/25-26/059</t>
  </si>
  <si>
    <t>S.S. single hydrant Valve Make Fortune</t>
  </si>
  <si>
    <t>Nos.</t>
  </si>
  <si>
    <t>Two Lakh Twenty Six Thousand Seven Hundred Fifty One</t>
  </si>
  <si>
    <t>NSE/25-26/025</t>
  </si>
  <si>
    <t>C.I. Butterfly Valve size 150mm Dia. Make SSM</t>
  </si>
  <si>
    <t>C.I. Butterfly Valve Size 100mm Dia. Make SSM</t>
  </si>
  <si>
    <t>C.I. Butterfly Valve Size 80mm Dia. Make SSM</t>
  </si>
  <si>
    <t>C.I. Butterfly Valve Size 65mm Dia. Make SSM</t>
  </si>
  <si>
    <t>C.I. Dual plate Non-Return Valve Size 100mm Dia Make SSM</t>
  </si>
  <si>
    <t>C.I. Dual Plate Non-Return Valve Size 65mm Dia Make SSM</t>
  </si>
  <si>
    <t>G.M. Ball Valve Size 25mm Dia Make Zoloto</t>
  </si>
  <si>
    <t xml:space="preserve">G.M. Ball Valve Size 15mm Dia Make Zoloto </t>
  </si>
  <si>
    <t>C.I. "Y" Type Stainer Size 150mm Dia Make SSM</t>
  </si>
  <si>
    <t>Pressure Switch Make Danfoss</t>
  </si>
  <si>
    <t>Seventy Three Thousand Nine Hundred Seventy Only</t>
  </si>
  <si>
    <t>NSE/25-26/032</t>
  </si>
  <si>
    <t>CG Make Diesel Pump Set Capacity 1620 LPM @70 Mtr. Head, 39 HP</t>
  </si>
  <si>
    <t>Kirloskar Make Main Pump Set Capacity 2280 LPM @70 Mtr. Head , 60 HP</t>
  </si>
  <si>
    <t>Lubi Make Sprinkler Pump Set Capacity 1250 LPM @70 Mtr. Head, 30 HP</t>
  </si>
  <si>
    <t>Nine Lakh Eighteen Thousand Eight Hundred Fourty Two Only</t>
  </si>
  <si>
    <t>NSE/25-26/035</t>
  </si>
  <si>
    <t>Lubi Make Verticle Inline Pump Capacity 180 LPM @ 70 Mtr. Head, 5.5 HP</t>
  </si>
  <si>
    <t>Eighty Nine Thousand Two Hundred Eight Only</t>
  </si>
  <si>
    <t>NSE/25-26/038</t>
  </si>
  <si>
    <t>2 Zone Conventional Type Fire Alarm Panel Make Ases</t>
  </si>
  <si>
    <t>Conventional Type Manual Call point with Base Make Ases</t>
  </si>
  <si>
    <t>Conventional Type Hooter with Base make Ases</t>
  </si>
  <si>
    <t>Seventy Three Thousand Two Hundred Nine Only</t>
  </si>
  <si>
    <t>NSE/25-26/058</t>
  </si>
  <si>
    <t>C.I. Butterfly Valve Size 150mm Dia. Make SSM</t>
  </si>
  <si>
    <t>Fourteen Thousand Twenty One Only</t>
  </si>
  <si>
    <t>NSE/25-26/060</t>
  </si>
  <si>
    <t>2 Core X 1.5 Sq.mm. Copper Flexible Cable Polycab Make</t>
  </si>
  <si>
    <t>Mtr.</t>
  </si>
  <si>
    <t xml:space="preserve">Newage Make 68 Degree Pendent Standard Response type Fire Sprinkler </t>
  </si>
  <si>
    <t>Pressure Gauge Make Excel</t>
  </si>
  <si>
    <t>Pressure Gauge Make Danfoss</t>
  </si>
  <si>
    <t>G.M. Air Release Valve Size 25mm Dia. Make Zoloto</t>
  </si>
  <si>
    <t>M.S. Double Door Hose Box Size 750 X 600 X 250mm</t>
  </si>
  <si>
    <t xml:space="preserve">S.S. Single Headed Hydrant Valve Make Fortune </t>
  </si>
  <si>
    <t>Three Lakh Sixty Eight Thousand Three Hundred Twenty Eight Only</t>
  </si>
  <si>
    <t>NSE/25-26/067</t>
  </si>
  <si>
    <t xml:space="preserve">Combined Electrical Auto Pump Panal Size 60 HP + 30 HP + 5.5 HP Diesel </t>
  </si>
  <si>
    <t>Fortune Make 4 Way Valve</t>
  </si>
  <si>
    <t>C.I. Butterfly Valve Size 100 mm Dia Make SSM</t>
  </si>
  <si>
    <t>C.I. Non- Return Valve Size 100 mm Dia Make SSM</t>
  </si>
  <si>
    <t>M.S. Single Door Hose Box Size 500 X 500 X 200 mm</t>
  </si>
  <si>
    <t>Hose Reel Drum set with 20 mm X 30 meter long hose and pvc shut off nozzle</t>
  </si>
  <si>
    <t>Force Make S.S. short Branch pipe</t>
  </si>
  <si>
    <t>C.I. Butterfly Valve Size 50mm Dia. Make SSm</t>
  </si>
  <si>
    <t>ABC Type Fire Extinguisher Capacity 6 Kgs. Make V-Safe</t>
  </si>
  <si>
    <t>CO2 Type Fire Extinguisher Capacity 4.5 kgs. Make V-Safe</t>
  </si>
  <si>
    <t>Modular type Automatic Fire Extinguisher Capacity 5 Kgs Make V-Safe</t>
  </si>
  <si>
    <t>Conventional Type Hooter With base make Ases</t>
  </si>
  <si>
    <t>C.I. Butterfly Valve size 80mm Dia Make SSm</t>
  </si>
  <si>
    <t>HD Make Deluge Valve 100mm Dia</t>
  </si>
  <si>
    <t>HD Make Water Curtain Nozzle k-20</t>
  </si>
  <si>
    <t>Force Make Rrl Hose Pipe with Male &amp; Female S.S. coupling with G.I. wire Binding</t>
  </si>
  <si>
    <t>Eighteen Lakh Seventy Six Thousand Three Hundred Sixty One Only</t>
  </si>
  <si>
    <t>C.I. Dual Plate Non- Return Valve Size 150mm Dia. Make SSM</t>
  </si>
  <si>
    <t>NSE/25-26/0398</t>
  </si>
  <si>
    <t>Consulting Charges for Fire NOC</t>
  </si>
  <si>
    <t>Three Lakh Eighteen Thousand Six Hundred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</si>
</sst>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164" fontId="4" fillId="0" borderId="0" xfId="1" applyFont="1" applyAlignment="1">
      <alignment vertical="center"/>
    </xf>
    <xf numFmtId="165" fontId="2" fillId="0" borderId="0" xfId="0" applyNumberFormat="1" applyFont="1"/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P33"/>
  <sheetViews>
    <sheetView topLeftCell="C8" workbookViewId="0">
      <selection activeCell="F13" sqref="F13:L13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4" width="8.6328125" style="1"/>
    <col min="15" max="15" width="10.1796875" style="1" customWidth="1"/>
    <col min="16" max="16" width="11.54296875" style="1" customWidth="1"/>
    <col min="17" max="16384" width="8.6328125" style="1"/>
  </cols>
  <sheetData>
    <row r="2" spans="5:16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6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6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>
        <v>1</v>
      </c>
    </row>
    <row r="5" spans="5:16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6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45556</v>
      </c>
      <c r="M6" s="30"/>
    </row>
    <row r="7" spans="5:16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45541</v>
      </c>
      <c r="M7" s="30"/>
    </row>
    <row r="8" spans="5:16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6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6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6" ht="33.9" customHeight="1" x14ac:dyDescent="0.3">
      <c r="E11" s="4">
        <v>1</v>
      </c>
      <c r="F11" s="32" t="s">
        <v>28</v>
      </c>
      <c r="G11" s="32"/>
      <c r="H11" s="32"/>
      <c r="I11" s="5">
        <v>1</v>
      </c>
      <c r="J11" s="12">
        <v>121</v>
      </c>
      <c r="K11" s="17" t="s">
        <v>29</v>
      </c>
      <c r="L11" s="4">
        <v>1573.41</v>
      </c>
      <c r="M11" s="9">
        <f>J11*L11*I11</f>
        <v>190382.61000000002</v>
      </c>
    </row>
    <row r="12" spans="5:16" ht="33.9" customHeight="1" x14ac:dyDescent="0.3">
      <c r="E12" s="4">
        <v>2</v>
      </c>
      <c r="F12" s="32" t="s">
        <v>30</v>
      </c>
      <c r="G12" s="32"/>
      <c r="H12" s="32"/>
      <c r="I12" s="5">
        <v>1</v>
      </c>
      <c r="J12" s="12">
        <v>6.05</v>
      </c>
      <c r="K12" s="17" t="s">
        <v>29</v>
      </c>
      <c r="L12" s="4">
        <v>1092.4100000000001</v>
      </c>
      <c r="M12" s="9">
        <f t="shared" ref="M12" si="0">J12*L12*I12</f>
        <v>6609.0805</v>
      </c>
    </row>
    <row r="13" spans="5:16" ht="17.399999999999999" customHeight="1" x14ac:dyDescent="0.35">
      <c r="E13" s="16"/>
      <c r="F13" s="34" t="s">
        <v>18</v>
      </c>
      <c r="G13" s="34"/>
      <c r="H13" s="34"/>
      <c r="I13" s="34"/>
      <c r="J13" s="34"/>
      <c r="K13" s="34"/>
      <c r="L13" s="34"/>
      <c r="M13" s="10">
        <f>SUM(M11:M12)</f>
        <v>196991.69050000003</v>
      </c>
    </row>
    <row r="14" spans="5:16" ht="17.399999999999999" customHeight="1" x14ac:dyDescent="0.35">
      <c r="E14" s="16"/>
      <c r="F14" s="35" t="s">
        <v>20</v>
      </c>
      <c r="G14" s="35"/>
      <c r="H14" s="35"/>
      <c r="I14" s="35"/>
      <c r="J14" s="35"/>
      <c r="K14" s="35"/>
      <c r="L14" s="35"/>
      <c r="M14" s="6">
        <f>M13*9%</f>
        <v>17729.252145000002</v>
      </c>
      <c r="O14" s="20">
        <f>M17+'Bill-2'!M21+'Bill-3'!M18+'Bill-4'!M16+'Bill-5'!M20+'Bill-6'!M21</f>
        <v>2215163.7709400002</v>
      </c>
      <c r="P14" s="20">
        <f>O14-850000</f>
        <v>1365163.7709400002</v>
      </c>
    </row>
    <row r="15" spans="5:16" ht="17.399999999999999" customHeight="1" x14ac:dyDescent="0.35">
      <c r="E15" s="16"/>
      <c r="F15" s="35" t="s">
        <v>21</v>
      </c>
      <c r="G15" s="35"/>
      <c r="H15" s="35"/>
      <c r="I15" s="35"/>
      <c r="J15" s="35"/>
      <c r="K15" s="35"/>
      <c r="L15" s="35"/>
      <c r="M15" s="6">
        <f>M13*9%</f>
        <v>17729.252145000002</v>
      </c>
    </row>
    <row r="16" spans="5:16" ht="17.399999999999999" customHeight="1" x14ac:dyDescent="0.35">
      <c r="E16" s="16"/>
      <c r="F16" s="35" t="s">
        <v>23</v>
      </c>
      <c r="G16" s="35"/>
      <c r="H16" s="35"/>
      <c r="I16" s="35"/>
      <c r="J16" s="35"/>
      <c r="K16" s="35"/>
      <c r="L16" s="35"/>
      <c r="M16" s="10"/>
    </row>
    <row r="17" spans="5:13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M13-M16+M14+M15</f>
        <v>232450.19479000004</v>
      </c>
    </row>
    <row r="18" spans="5:13" ht="15.5" x14ac:dyDescent="0.35">
      <c r="E18" s="7"/>
      <c r="F18" s="36" t="s">
        <v>31</v>
      </c>
      <c r="G18" s="36"/>
      <c r="H18" s="36"/>
      <c r="I18" s="36"/>
      <c r="J18" s="36"/>
      <c r="K18" s="36"/>
      <c r="L18" s="36"/>
      <c r="M18" s="36"/>
    </row>
    <row r="19" spans="5:13" ht="15.5" x14ac:dyDescent="0.35">
      <c r="E19" s="16"/>
      <c r="F19" s="24" t="s">
        <v>13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22</v>
      </c>
      <c r="G20" s="24"/>
      <c r="H20" s="24"/>
      <c r="I20" s="7"/>
      <c r="J20" s="7"/>
      <c r="K20" s="7"/>
      <c r="L20" s="7"/>
      <c r="M20" s="11"/>
    </row>
    <row r="21" spans="5:13" ht="15.5" x14ac:dyDescent="0.35">
      <c r="E21" s="16"/>
      <c r="F21" s="24" t="s">
        <v>14</v>
      </c>
      <c r="G21" s="24"/>
      <c r="H21" s="24"/>
      <c r="I21" s="7"/>
      <c r="J21" s="7"/>
      <c r="K21" s="7"/>
      <c r="L21" s="7"/>
      <c r="M21" s="18">
        <f>M17-M19-M20</f>
        <v>232450.19479000004</v>
      </c>
    </row>
    <row r="22" spans="5:13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3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3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3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3" x14ac:dyDescent="0.3">
      <c r="E26" s="26" t="s">
        <v>15</v>
      </c>
      <c r="F26" s="26"/>
      <c r="G26" s="26"/>
      <c r="H26" s="26"/>
      <c r="I26" s="26"/>
      <c r="J26" s="26"/>
      <c r="K26" s="26"/>
      <c r="L26" s="26"/>
      <c r="M26" s="26"/>
    </row>
    <row r="27" spans="5:13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3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E30:M31"/>
    <mergeCell ref="F13:L13"/>
    <mergeCell ref="F14:L14"/>
    <mergeCell ref="F15:L15"/>
    <mergeCell ref="F16:L16"/>
    <mergeCell ref="F18:M18"/>
    <mergeCell ref="F19:H19"/>
    <mergeCell ref="F20:H20"/>
    <mergeCell ref="F21:H21"/>
    <mergeCell ref="E23:M25"/>
    <mergeCell ref="E26:M27"/>
    <mergeCell ref="E28:M29"/>
    <mergeCell ref="E8:F8"/>
    <mergeCell ref="G8:M8"/>
    <mergeCell ref="E9:M9"/>
    <mergeCell ref="F10:H10"/>
    <mergeCell ref="F12:H12"/>
    <mergeCell ref="F11:H11"/>
    <mergeCell ref="E6:J6"/>
    <mergeCell ref="L6:M6"/>
    <mergeCell ref="E7:F7"/>
    <mergeCell ref="G7:J7"/>
    <mergeCell ref="L7:M7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4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7FE9-CAE0-4E7B-8202-1FC791113810}">
  <sheetPr>
    <pageSetUpPr fitToPage="1"/>
  </sheetPr>
  <dimension ref="E2:M37"/>
  <sheetViews>
    <sheetView topLeftCell="B9" workbookViewId="0">
      <selection activeCell="J15" sqref="J15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32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45568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45566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28</v>
      </c>
      <c r="G11" s="32"/>
      <c r="H11" s="32"/>
      <c r="I11" s="5">
        <v>1</v>
      </c>
      <c r="J11" s="19">
        <v>181.5</v>
      </c>
      <c r="K11" s="17" t="s">
        <v>29</v>
      </c>
      <c r="L11" s="4">
        <v>1573.41</v>
      </c>
      <c r="M11" s="9">
        <f>J11*L11*I11</f>
        <v>285573.91500000004</v>
      </c>
    </row>
    <row r="12" spans="5:13" ht="33.9" customHeight="1" x14ac:dyDescent="0.3">
      <c r="E12" s="4">
        <v>2</v>
      </c>
      <c r="F12" s="32" t="s">
        <v>30</v>
      </c>
      <c r="G12" s="32"/>
      <c r="H12" s="32"/>
      <c r="I12" s="5">
        <v>1</v>
      </c>
      <c r="J12" s="19">
        <v>24.2</v>
      </c>
      <c r="K12" s="17" t="s">
        <v>29</v>
      </c>
      <c r="L12" s="4">
        <v>1092.4100000000001</v>
      </c>
      <c r="M12" s="9">
        <f t="shared" ref="M12" si="0">J12*L12*I12</f>
        <v>26436.322</v>
      </c>
    </row>
    <row r="13" spans="5:13" ht="33.9" customHeight="1" x14ac:dyDescent="0.3">
      <c r="E13" s="4">
        <v>3</v>
      </c>
      <c r="F13" s="32" t="s">
        <v>33</v>
      </c>
      <c r="G13" s="32"/>
      <c r="H13" s="32"/>
      <c r="I13" s="5">
        <v>1</v>
      </c>
      <c r="J13" s="19">
        <v>78.650000000000006</v>
      </c>
      <c r="K13" s="17" t="s">
        <v>29</v>
      </c>
      <c r="L13" s="4">
        <v>887.87</v>
      </c>
      <c r="M13" s="9">
        <f>J13*L13*I13</f>
        <v>69830.9755</v>
      </c>
    </row>
    <row r="14" spans="5:13" ht="33.9" customHeight="1" x14ac:dyDescent="0.3">
      <c r="E14" s="4">
        <v>4</v>
      </c>
      <c r="F14" s="32" t="s">
        <v>34</v>
      </c>
      <c r="G14" s="32"/>
      <c r="H14" s="32"/>
      <c r="I14" s="5">
        <v>1</v>
      </c>
      <c r="J14" s="19">
        <v>108.9</v>
      </c>
      <c r="K14" s="17" t="s">
        <v>29</v>
      </c>
      <c r="L14" s="4">
        <v>690.81</v>
      </c>
      <c r="M14" s="9">
        <f>J14*L14*I14</f>
        <v>75229.209000000003</v>
      </c>
    </row>
    <row r="15" spans="5:13" ht="33.9" customHeight="1" x14ac:dyDescent="0.3">
      <c r="E15" s="4">
        <v>5</v>
      </c>
      <c r="F15" s="32" t="s">
        <v>35</v>
      </c>
      <c r="G15" s="32"/>
      <c r="H15" s="32"/>
      <c r="I15" s="5">
        <v>1</v>
      </c>
      <c r="J15" s="19">
        <v>66.55</v>
      </c>
      <c r="K15" s="17" t="s">
        <v>29</v>
      </c>
      <c r="L15" s="4">
        <v>432.83</v>
      </c>
      <c r="M15" s="9">
        <f t="shared" ref="M15" si="1">J15*L15*I15</f>
        <v>28804.836499999998</v>
      </c>
    </row>
    <row r="16" spans="5:13" ht="33.9" customHeight="1" x14ac:dyDescent="0.3">
      <c r="E16" s="4">
        <v>6</v>
      </c>
      <c r="F16" s="32" t="s">
        <v>36</v>
      </c>
      <c r="G16" s="32"/>
      <c r="H16" s="32"/>
      <c r="I16" s="5">
        <v>1</v>
      </c>
      <c r="J16" s="19">
        <v>163.35</v>
      </c>
      <c r="K16" s="17" t="s">
        <v>29</v>
      </c>
      <c r="L16" s="4">
        <v>337.16</v>
      </c>
      <c r="M16" s="9">
        <f t="shared" ref="M16" si="2">J16*L16*I16</f>
        <v>55075.086000000003</v>
      </c>
    </row>
    <row r="17" spans="5:13" ht="17.399999999999999" customHeight="1" x14ac:dyDescent="0.35">
      <c r="E17" s="16"/>
      <c r="F17" s="34" t="s">
        <v>18</v>
      </c>
      <c r="G17" s="34"/>
      <c r="H17" s="34"/>
      <c r="I17" s="34"/>
      <c r="J17" s="34"/>
      <c r="K17" s="34"/>
      <c r="L17" s="34"/>
      <c r="M17" s="10">
        <f>SUM(M11:M16)</f>
        <v>540950.34400000004</v>
      </c>
    </row>
    <row r="18" spans="5:13" ht="17.399999999999999" customHeight="1" x14ac:dyDescent="0.35">
      <c r="E18" s="16"/>
      <c r="F18" s="35" t="s">
        <v>20</v>
      </c>
      <c r="G18" s="35"/>
      <c r="H18" s="35"/>
      <c r="I18" s="35"/>
      <c r="J18" s="35"/>
      <c r="K18" s="35"/>
      <c r="L18" s="35"/>
      <c r="M18" s="6">
        <f>M17*9%</f>
        <v>48685.530960000004</v>
      </c>
    </row>
    <row r="19" spans="5:13" ht="17.399999999999999" customHeight="1" x14ac:dyDescent="0.35">
      <c r="E19" s="16"/>
      <c r="F19" s="35" t="s">
        <v>21</v>
      </c>
      <c r="G19" s="35"/>
      <c r="H19" s="35"/>
      <c r="I19" s="35"/>
      <c r="J19" s="35"/>
      <c r="K19" s="35"/>
      <c r="L19" s="35"/>
      <c r="M19" s="6">
        <f>M17*9%</f>
        <v>48685.530960000004</v>
      </c>
    </row>
    <row r="20" spans="5:13" ht="17.399999999999999" customHeight="1" x14ac:dyDescent="0.35">
      <c r="E20" s="16"/>
      <c r="F20" s="35" t="s">
        <v>23</v>
      </c>
      <c r="G20" s="35"/>
      <c r="H20" s="35"/>
      <c r="I20" s="35"/>
      <c r="J20" s="35"/>
      <c r="K20" s="35"/>
      <c r="L20" s="35"/>
      <c r="M20" s="10"/>
    </row>
    <row r="21" spans="5:13" ht="17.399999999999999" customHeight="1" x14ac:dyDescent="0.35">
      <c r="E21" s="16"/>
      <c r="F21" s="13"/>
      <c r="G21" s="13"/>
      <c r="H21" s="13"/>
      <c r="I21" s="13"/>
      <c r="J21" s="13"/>
      <c r="K21" s="13"/>
      <c r="L21" s="13"/>
      <c r="M21" s="10">
        <f>M17-M20+M18+M19</f>
        <v>638321.40592000005</v>
      </c>
    </row>
    <row r="22" spans="5:13" ht="15.5" x14ac:dyDescent="0.35">
      <c r="E22" s="7"/>
      <c r="F22" s="36" t="s">
        <v>37</v>
      </c>
      <c r="G22" s="36"/>
      <c r="H22" s="36"/>
      <c r="I22" s="36"/>
      <c r="J22" s="36"/>
      <c r="K22" s="36"/>
      <c r="L22" s="36"/>
      <c r="M22" s="36"/>
    </row>
    <row r="23" spans="5:13" ht="15.5" x14ac:dyDescent="0.35">
      <c r="E23" s="16"/>
      <c r="F23" s="24" t="s">
        <v>13</v>
      </c>
      <c r="G23" s="24"/>
      <c r="H23" s="24"/>
      <c r="I23" s="7"/>
      <c r="J23" s="7"/>
      <c r="K23" s="7"/>
      <c r="L23" s="7"/>
      <c r="M23" s="11"/>
    </row>
    <row r="24" spans="5:13" ht="15.5" x14ac:dyDescent="0.35">
      <c r="E24" s="16"/>
      <c r="F24" s="24" t="s">
        <v>22</v>
      </c>
      <c r="G24" s="24"/>
      <c r="H24" s="24"/>
      <c r="I24" s="7"/>
      <c r="J24" s="7"/>
      <c r="K24" s="7"/>
      <c r="L24" s="7"/>
      <c r="M24" s="11"/>
    </row>
    <row r="25" spans="5:13" ht="15.5" x14ac:dyDescent="0.35">
      <c r="E25" s="16"/>
      <c r="F25" s="24" t="s">
        <v>14</v>
      </c>
      <c r="G25" s="24"/>
      <c r="H25" s="24"/>
      <c r="I25" s="7"/>
      <c r="J25" s="7"/>
      <c r="K25" s="7"/>
      <c r="L25" s="7"/>
      <c r="M25" s="18">
        <f>M21-M23-M24</f>
        <v>638321.40592000005</v>
      </c>
    </row>
    <row r="26" spans="5:13" ht="15.5" x14ac:dyDescent="0.35">
      <c r="E26" s="7"/>
      <c r="F26" s="7"/>
      <c r="G26" s="7"/>
      <c r="H26" s="7"/>
      <c r="I26" s="7"/>
      <c r="J26" s="7"/>
      <c r="K26" s="7"/>
      <c r="L26" s="7"/>
      <c r="M26" s="7"/>
    </row>
    <row r="27" spans="5:13" x14ac:dyDescent="0.3">
      <c r="E27" s="27"/>
      <c r="F27" s="27"/>
      <c r="G27" s="27"/>
      <c r="H27" s="27"/>
      <c r="I27" s="27"/>
      <c r="J27" s="27"/>
      <c r="K27" s="27"/>
      <c r="L27" s="27"/>
      <c r="M27" s="27"/>
    </row>
    <row r="28" spans="5:13" x14ac:dyDescent="0.3">
      <c r="E28" s="27"/>
      <c r="F28" s="27"/>
      <c r="G28" s="27"/>
      <c r="H28" s="27"/>
      <c r="I28" s="27"/>
      <c r="J28" s="27"/>
      <c r="K28" s="27"/>
      <c r="L28" s="27"/>
      <c r="M28" s="27"/>
    </row>
    <row r="29" spans="5:13" x14ac:dyDescent="0.3">
      <c r="E29" s="27"/>
      <c r="F29" s="27"/>
      <c r="G29" s="27"/>
      <c r="H29" s="27"/>
      <c r="I29" s="27"/>
      <c r="J29" s="27"/>
      <c r="K29" s="27"/>
      <c r="L29" s="27"/>
      <c r="M29" s="27"/>
    </row>
    <row r="30" spans="5:13" x14ac:dyDescent="0.3">
      <c r="E30" s="26" t="s">
        <v>15</v>
      </c>
      <c r="F30" s="26"/>
      <c r="G30" s="26"/>
      <c r="H30" s="26"/>
      <c r="I30" s="26"/>
      <c r="J30" s="26"/>
      <c r="K30" s="26"/>
      <c r="L30" s="26"/>
      <c r="M30" s="26"/>
    </row>
    <row r="31" spans="5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3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ht="15.5" x14ac:dyDescent="0.35">
      <c r="E36" s="7"/>
      <c r="F36" s="7"/>
      <c r="G36" s="7"/>
      <c r="H36" s="7"/>
      <c r="I36" s="7"/>
      <c r="J36" s="7"/>
      <c r="K36" s="7"/>
      <c r="L36" s="7"/>
      <c r="M36" s="7"/>
    </row>
    <row r="37" spans="5:13" ht="15.5" x14ac:dyDescent="0.35">
      <c r="E37" s="7"/>
      <c r="F37" s="7"/>
      <c r="G37" s="7"/>
      <c r="H37" s="7"/>
      <c r="I37" s="7"/>
      <c r="J37" s="7"/>
      <c r="K37" s="7"/>
      <c r="L37" s="7"/>
      <c r="M37" s="7"/>
    </row>
  </sheetData>
  <mergeCells count="33">
    <mergeCell ref="E27:M29"/>
    <mergeCell ref="E30:M31"/>
    <mergeCell ref="E32:M33"/>
    <mergeCell ref="E34:M35"/>
    <mergeCell ref="F11:H11"/>
    <mergeCell ref="F12:H12"/>
    <mergeCell ref="F13:H13"/>
    <mergeCell ref="F15:H15"/>
    <mergeCell ref="F19:L19"/>
    <mergeCell ref="F20:L20"/>
    <mergeCell ref="F22:M22"/>
    <mergeCell ref="F23:H23"/>
    <mergeCell ref="F24:H24"/>
    <mergeCell ref="F25:H25"/>
    <mergeCell ref="F18:L18"/>
    <mergeCell ref="E9:M9"/>
    <mergeCell ref="F10:H10"/>
    <mergeCell ref="F14:H14"/>
    <mergeCell ref="F16:H16"/>
    <mergeCell ref="F17:L17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3D53-778B-489E-B3FC-60CCD93EBC79}">
  <sheetPr>
    <pageSetUpPr fitToPage="1"/>
  </sheetPr>
  <dimension ref="E2:M34"/>
  <sheetViews>
    <sheetView topLeftCell="B12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38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45619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45609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39</v>
      </c>
      <c r="G11" s="32"/>
      <c r="H11" s="32"/>
      <c r="I11" s="5">
        <v>1</v>
      </c>
      <c r="J11" s="19">
        <v>102.85</v>
      </c>
      <c r="K11" s="17" t="s">
        <v>29</v>
      </c>
      <c r="L11" s="4">
        <v>2314.37</v>
      </c>
      <c r="M11" s="9">
        <f>J11*L11*I11</f>
        <v>238032.95449999996</v>
      </c>
    </row>
    <row r="12" spans="5:13" ht="33.9" customHeight="1" x14ac:dyDescent="0.3">
      <c r="E12" s="4">
        <v>2</v>
      </c>
      <c r="F12" s="32" t="s">
        <v>28</v>
      </c>
      <c r="G12" s="32"/>
      <c r="H12" s="32"/>
      <c r="I12" s="5">
        <v>1</v>
      </c>
      <c r="J12" s="19">
        <v>18.149999999999999</v>
      </c>
      <c r="K12" s="17" t="s">
        <v>29</v>
      </c>
      <c r="L12" s="4">
        <v>1573.41</v>
      </c>
      <c r="M12" s="9">
        <f t="shared" ref="M12" si="0">J12*L12*I12</f>
        <v>28557.391499999998</v>
      </c>
    </row>
    <row r="13" spans="5:13" ht="33.9" customHeight="1" x14ac:dyDescent="0.3">
      <c r="E13" s="4">
        <v>3</v>
      </c>
      <c r="F13" s="32" t="s">
        <v>30</v>
      </c>
      <c r="G13" s="32"/>
      <c r="H13" s="32"/>
      <c r="I13" s="5">
        <v>1</v>
      </c>
      <c r="J13" s="19">
        <v>78.650000000000006</v>
      </c>
      <c r="K13" s="17" t="s">
        <v>29</v>
      </c>
      <c r="L13" s="4">
        <v>1092.4100000000001</v>
      </c>
      <c r="M13" s="9">
        <f>J13*L13*I13</f>
        <v>85918.046500000011</v>
      </c>
    </row>
    <row r="14" spans="5:13" ht="17.399999999999999" customHeight="1" x14ac:dyDescent="0.35">
      <c r="E14" s="16"/>
      <c r="F14" s="34" t="s">
        <v>18</v>
      </c>
      <c r="G14" s="34"/>
      <c r="H14" s="34"/>
      <c r="I14" s="34"/>
      <c r="J14" s="34"/>
      <c r="K14" s="34"/>
      <c r="L14" s="34"/>
      <c r="M14" s="10">
        <f>SUM(M11:M13)</f>
        <v>352508.39249999996</v>
      </c>
    </row>
    <row r="15" spans="5:13" ht="17.399999999999999" customHeight="1" x14ac:dyDescent="0.35">
      <c r="E15" s="16"/>
      <c r="F15" s="35" t="s">
        <v>20</v>
      </c>
      <c r="G15" s="35"/>
      <c r="H15" s="35"/>
      <c r="I15" s="35"/>
      <c r="J15" s="35"/>
      <c r="K15" s="35"/>
      <c r="L15" s="35"/>
      <c r="M15" s="6">
        <f>M14*9%</f>
        <v>31725.755324999995</v>
      </c>
    </row>
    <row r="16" spans="5:13" ht="17.399999999999999" customHeight="1" x14ac:dyDescent="0.35">
      <c r="E16" s="16"/>
      <c r="F16" s="35" t="s">
        <v>21</v>
      </c>
      <c r="G16" s="35"/>
      <c r="H16" s="35"/>
      <c r="I16" s="35"/>
      <c r="J16" s="35"/>
      <c r="K16" s="35"/>
      <c r="L16" s="35"/>
      <c r="M16" s="6">
        <f>M14*9%</f>
        <v>31725.755324999995</v>
      </c>
    </row>
    <row r="17" spans="5:13" ht="17.399999999999999" customHeight="1" x14ac:dyDescent="0.35">
      <c r="E17" s="16"/>
      <c r="F17" s="35" t="s">
        <v>23</v>
      </c>
      <c r="G17" s="35"/>
      <c r="H17" s="35"/>
      <c r="I17" s="35"/>
      <c r="J17" s="35"/>
      <c r="K17" s="35"/>
      <c r="L17" s="35"/>
      <c r="M17" s="10"/>
    </row>
    <row r="18" spans="5:13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0">
        <f>M14-M17+M15+M16</f>
        <v>415959.90314999991</v>
      </c>
    </row>
    <row r="19" spans="5:13" ht="15.5" x14ac:dyDescent="0.35">
      <c r="E19" s="7"/>
      <c r="F19" s="36" t="s">
        <v>40</v>
      </c>
      <c r="G19" s="36"/>
      <c r="H19" s="36"/>
      <c r="I19" s="36"/>
      <c r="J19" s="36"/>
      <c r="K19" s="36"/>
      <c r="L19" s="36"/>
      <c r="M19" s="36"/>
    </row>
    <row r="20" spans="5:13" ht="15.5" x14ac:dyDescent="0.35">
      <c r="E20" s="16"/>
      <c r="F20" s="24" t="s">
        <v>13</v>
      </c>
      <c r="G20" s="24"/>
      <c r="H20" s="24"/>
      <c r="I20" s="7"/>
      <c r="J20" s="7"/>
      <c r="K20" s="7"/>
      <c r="L20" s="7"/>
      <c r="M20" s="11"/>
    </row>
    <row r="21" spans="5:13" ht="15.5" x14ac:dyDescent="0.35">
      <c r="E21" s="16"/>
      <c r="F21" s="24" t="s">
        <v>22</v>
      </c>
      <c r="G21" s="24"/>
      <c r="H21" s="24"/>
      <c r="I21" s="7"/>
      <c r="J21" s="7"/>
      <c r="K21" s="7"/>
      <c r="L21" s="7"/>
      <c r="M21" s="11"/>
    </row>
    <row r="22" spans="5:13" ht="15.5" x14ac:dyDescent="0.35">
      <c r="E22" s="16"/>
      <c r="F22" s="24" t="s">
        <v>14</v>
      </c>
      <c r="G22" s="24"/>
      <c r="H22" s="24"/>
      <c r="I22" s="7"/>
      <c r="J22" s="7"/>
      <c r="K22" s="7"/>
      <c r="L22" s="7"/>
      <c r="M22" s="18">
        <f>M18-M20-M21</f>
        <v>415959.90314999991</v>
      </c>
    </row>
    <row r="23" spans="5:13" ht="15.5" x14ac:dyDescent="0.35">
      <c r="E23" s="7"/>
      <c r="F23" s="7"/>
      <c r="G23" s="7"/>
      <c r="H23" s="7"/>
      <c r="I23" s="7"/>
      <c r="J23" s="7"/>
      <c r="K23" s="7"/>
      <c r="L23" s="7"/>
      <c r="M23" s="7"/>
    </row>
    <row r="24" spans="5:13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3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3" x14ac:dyDescent="0.3">
      <c r="E26" s="27"/>
      <c r="F26" s="27"/>
      <c r="G26" s="27"/>
      <c r="H26" s="27"/>
      <c r="I26" s="27"/>
      <c r="J26" s="27"/>
      <c r="K26" s="27"/>
      <c r="L26" s="27"/>
      <c r="M26" s="27"/>
    </row>
    <row r="27" spans="5:13" x14ac:dyDescent="0.3">
      <c r="E27" s="26" t="s">
        <v>15</v>
      </c>
      <c r="F27" s="26"/>
      <c r="G27" s="26"/>
      <c r="H27" s="26"/>
      <c r="I27" s="26"/>
      <c r="J27" s="26"/>
      <c r="K27" s="26"/>
      <c r="L27" s="26"/>
      <c r="M27" s="26"/>
    </row>
    <row r="28" spans="5:13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3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</sheetData>
  <mergeCells count="30">
    <mergeCell ref="E29:M30"/>
    <mergeCell ref="E31:M32"/>
    <mergeCell ref="F19:M19"/>
    <mergeCell ref="F20:H20"/>
    <mergeCell ref="F21:H21"/>
    <mergeCell ref="F22:H22"/>
    <mergeCell ref="E24:M26"/>
    <mergeCell ref="E27:M28"/>
    <mergeCell ref="F14:L14"/>
    <mergeCell ref="F15:L15"/>
    <mergeCell ref="F16:L16"/>
    <mergeCell ref="F17:L17"/>
    <mergeCell ref="E9:M9"/>
    <mergeCell ref="F10:H10"/>
    <mergeCell ref="F11:H11"/>
    <mergeCell ref="F12:H12"/>
    <mergeCell ref="F13:H13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E2D0-DD8E-4242-899F-13ED0E4CD6F5}">
  <sheetPr>
    <pageSetUpPr fitToPage="1"/>
  </sheetPr>
  <dimension ref="E2:M32"/>
  <sheetViews>
    <sheetView topLeftCell="B8" workbookViewId="0">
      <selection activeCell="E2" sqref="E2:M28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44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45656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45632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45</v>
      </c>
      <c r="G11" s="32"/>
      <c r="H11" s="32"/>
      <c r="I11" s="5">
        <v>1</v>
      </c>
      <c r="J11" s="19">
        <v>175.45</v>
      </c>
      <c r="K11" s="17" t="s">
        <v>29</v>
      </c>
      <c r="L11" s="4">
        <v>337.16</v>
      </c>
      <c r="M11" s="9">
        <f>J11*L11*I11</f>
        <v>59154.722000000002</v>
      </c>
    </row>
    <row r="12" spans="5:13" ht="17.399999999999999" customHeight="1" x14ac:dyDescent="0.35">
      <c r="E12" s="16"/>
      <c r="F12" s="34" t="s">
        <v>18</v>
      </c>
      <c r="G12" s="34"/>
      <c r="H12" s="34"/>
      <c r="I12" s="34"/>
      <c r="J12" s="34"/>
      <c r="K12" s="34"/>
      <c r="L12" s="34"/>
      <c r="M12" s="10">
        <f>SUM(M11:M11)</f>
        <v>59154.722000000002</v>
      </c>
    </row>
    <row r="13" spans="5:13" ht="17.399999999999999" customHeight="1" x14ac:dyDescent="0.35">
      <c r="E13" s="16"/>
      <c r="F13" s="35" t="s">
        <v>20</v>
      </c>
      <c r="G13" s="35"/>
      <c r="H13" s="35"/>
      <c r="I13" s="35"/>
      <c r="J13" s="35"/>
      <c r="K13" s="35"/>
      <c r="L13" s="35"/>
      <c r="M13" s="6">
        <f>M12*9%</f>
        <v>5323.9249799999998</v>
      </c>
    </row>
    <row r="14" spans="5:13" ht="17.399999999999999" customHeight="1" x14ac:dyDescent="0.35">
      <c r="E14" s="16"/>
      <c r="F14" s="35" t="s">
        <v>21</v>
      </c>
      <c r="G14" s="35"/>
      <c r="H14" s="35"/>
      <c r="I14" s="35"/>
      <c r="J14" s="35"/>
      <c r="K14" s="35"/>
      <c r="L14" s="35"/>
      <c r="M14" s="6">
        <f>M12*9%</f>
        <v>5323.9249799999998</v>
      </c>
    </row>
    <row r="15" spans="5:13" ht="17.399999999999999" customHeight="1" x14ac:dyDescent="0.35">
      <c r="E15" s="16"/>
      <c r="F15" s="35" t="s">
        <v>23</v>
      </c>
      <c r="G15" s="35"/>
      <c r="H15" s="35"/>
      <c r="I15" s="35"/>
      <c r="J15" s="35"/>
      <c r="K15" s="35"/>
      <c r="L15" s="35"/>
      <c r="M15" s="10"/>
    </row>
    <row r="16" spans="5:13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69802.571960000001</v>
      </c>
    </row>
    <row r="17" spans="5:13" ht="15.5" x14ac:dyDescent="0.35">
      <c r="E17" s="7"/>
      <c r="F17" s="36" t="s">
        <v>46</v>
      </c>
      <c r="G17" s="36"/>
      <c r="H17" s="36"/>
      <c r="I17" s="36"/>
      <c r="J17" s="36"/>
      <c r="K17" s="36"/>
      <c r="L17" s="36"/>
      <c r="M17" s="36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69802.571960000001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7"/>
      <c r="F22" s="27"/>
      <c r="G22" s="27"/>
      <c r="H22" s="27"/>
      <c r="I22" s="27"/>
      <c r="J22" s="27"/>
      <c r="K22" s="27"/>
      <c r="L22" s="27"/>
      <c r="M22" s="27"/>
    </row>
    <row r="23" spans="5:13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3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3" x14ac:dyDescent="0.3">
      <c r="E25" s="26" t="s">
        <v>15</v>
      </c>
      <c r="F25" s="26"/>
      <c r="G25" s="26"/>
      <c r="H25" s="26"/>
      <c r="I25" s="26"/>
      <c r="J25" s="26"/>
      <c r="K25" s="26"/>
      <c r="L25" s="26"/>
      <c r="M25" s="26"/>
    </row>
    <row r="26" spans="5:13" x14ac:dyDescent="0.3">
      <c r="E26" s="26"/>
      <c r="F26" s="26"/>
      <c r="G26" s="26"/>
      <c r="H26" s="26"/>
      <c r="I26" s="26"/>
      <c r="J26" s="26"/>
      <c r="K26" s="26"/>
      <c r="L26" s="26"/>
      <c r="M26" s="26"/>
    </row>
    <row r="27" spans="5:13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3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F20:H20"/>
    <mergeCell ref="E22:M24"/>
    <mergeCell ref="E25:M26"/>
    <mergeCell ref="E27:M28"/>
    <mergeCell ref="E29:M30"/>
    <mergeCell ref="F19:H19"/>
    <mergeCell ref="E9:M9"/>
    <mergeCell ref="F10:H10"/>
    <mergeCell ref="F11:H11"/>
    <mergeCell ref="F12:L12"/>
    <mergeCell ref="F13:L13"/>
    <mergeCell ref="F14:L14"/>
    <mergeCell ref="F15:L15"/>
    <mergeCell ref="F17:M17"/>
    <mergeCell ref="F18:H18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3056-9E8F-4120-A828-EA04E75D0120}">
  <sheetPr>
    <pageSetUpPr fitToPage="1"/>
  </sheetPr>
  <dimension ref="E2:M36"/>
  <sheetViews>
    <sheetView topLeftCell="B9" workbookViewId="0">
      <selection activeCell="E2" sqref="E2:M34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41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45650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45642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30</v>
      </c>
      <c r="G11" s="32"/>
      <c r="H11" s="32"/>
      <c r="I11" s="5">
        <v>1</v>
      </c>
      <c r="J11" s="19">
        <v>90.75</v>
      </c>
      <c r="K11" s="17" t="s">
        <v>29</v>
      </c>
      <c r="L11" s="4">
        <v>1092.4100000000001</v>
      </c>
      <c r="M11" s="9">
        <f>J11*L11*I11</f>
        <v>99136.207500000004</v>
      </c>
    </row>
    <row r="12" spans="5:13" ht="33.9" customHeight="1" x14ac:dyDescent="0.3">
      <c r="E12" s="4">
        <v>2</v>
      </c>
      <c r="F12" s="32" t="s">
        <v>33</v>
      </c>
      <c r="G12" s="32"/>
      <c r="H12" s="32"/>
      <c r="I12" s="5">
        <v>1</v>
      </c>
      <c r="J12" s="19">
        <v>48.4</v>
      </c>
      <c r="K12" s="17" t="s">
        <v>29</v>
      </c>
      <c r="L12" s="4">
        <v>887.87</v>
      </c>
      <c r="M12" s="9">
        <f t="shared" ref="M12" si="0">J12*L12*I12</f>
        <v>42972.907999999996</v>
      </c>
    </row>
    <row r="13" spans="5:13" ht="33.9" customHeight="1" x14ac:dyDescent="0.3">
      <c r="E13" s="4">
        <v>3</v>
      </c>
      <c r="F13" s="32" t="s">
        <v>34</v>
      </c>
      <c r="G13" s="32"/>
      <c r="H13" s="32"/>
      <c r="I13" s="5">
        <v>1</v>
      </c>
      <c r="J13" s="19">
        <v>133.1</v>
      </c>
      <c r="K13" s="17" t="s">
        <v>29</v>
      </c>
      <c r="L13" s="4">
        <v>690.81</v>
      </c>
      <c r="M13" s="9">
        <f>J13*L13*I13</f>
        <v>91946.810999999987</v>
      </c>
    </row>
    <row r="14" spans="5:13" ht="33.9" customHeight="1" x14ac:dyDescent="0.3">
      <c r="E14" s="4">
        <v>4</v>
      </c>
      <c r="F14" s="32" t="s">
        <v>42</v>
      </c>
      <c r="G14" s="32"/>
      <c r="H14" s="32"/>
      <c r="I14" s="5">
        <v>1</v>
      </c>
      <c r="J14" s="19">
        <v>48.4</v>
      </c>
      <c r="K14" s="17" t="s">
        <v>29</v>
      </c>
      <c r="L14" s="4">
        <v>502.33</v>
      </c>
      <c r="M14" s="9">
        <f t="shared" ref="M14" si="1">J14*L14*I14</f>
        <v>24312.771999999997</v>
      </c>
    </row>
    <row r="15" spans="5:13" ht="33.9" customHeight="1" x14ac:dyDescent="0.3">
      <c r="E15" s="4">
        <v>5</v>
      </c>
      <c r="F15" s="32" t="s">
        <v>35</v>
      </c>
      <c r="G15" s="32"/>
      <c r="H15" s="32"/>
      <c r="I15" s="5">
        <v>1</v>
      </c>
      <c r="J15" s="19">
        <v>54.45</v>
      </c>
      <c r="K15" s="17" t="s">
        <v>29</v>
      </c>
      <c r="L15" s="4">
        <v>432.83</v>
      </c>
      <c r="M15" s="9">
        <f>J15*L15*I15</f>
        <v>23567.593499999999</v>
      </c>
    </row>
    <row r="16" spans="5:13" ht="17.399999999999999" customHeight="1" x14ac:dyDescent="0.35">
      <c r="E16" s="16"/>
      <c r="F16" s="34" t="s">
        <v>18</v>
      </c>
      <c r="G16" s="34"/>
      <c r="H16" s="34"/>
      <c r="I16" s="34"/>
      <c r="J16" s="34"/>
      <c r="K16" s="34"/>
      <c r="L16" s="34"/>
      <c r="M16" s="10">
        <f>SUM(M11:M15)</f>
        <v>281936.29200000002</v>
      </c>
    </row>
    <row r="17" spans="5:13" ht="17.399999999999999" customHeight="1" x14ac:dyDescent="0.35">
      <c r="E17" s="16"/>
      <c r="F17" s="35" t="s">
        <v>20</v>
      </c>
      <c r="G17" s="35"/>
      <c r="H17" s="35"/>
      <c r="I17" s="35"/>
      <c r="J17" s="35"/>
      <c r="K17" s="35"/>
      <c r="L17" s="35"/>
      <c r="M17" s="6">
        <f>M16*9%</f>
        <v>25374.26628</v>
      </c>
    </row>
    <row r="18" spans="5:13" ht="17.399999999999999" customHeight="1" x14ac:dyDescent="0.35">
      <c r="E18" s="16"/>
      <c r="F18" s="35" t="s">
        <v>21</v>
      </c>
      <c r="G18" s="35"/>
      <c r="H18" s="35"/>
      <c r="I18" s="35"/>
      <c r="J18" s="35"/>
      <c r="K18" s="35"/>
      <c r="L18" s="35"/>
      <c r="M18" s="6">
        <f>M16*9%</f>
        <v>25374.26628</v>
      </c>
    </row>
    <row r="19" spans="5:13" ht="17.399999999999999" customHeight="1" x14ac:dyDescent="0.35">
      <c r="E19" s="16"/>
      <c r="F19" s="35" t="s">
        <v>23</v>
      </c>
      <c r="G19" s="35"/>
      <c r="H19" s="35"/>
      <c r="I19" s="35"/>
      <c r="J19" s="35"/>
      <c r="K19" s="35"/>
      <c r="L19" s="35"/>
      <c r="M19" s="10"/>
    </row>
    <row r="20" spans="5:13" ht="17.399999999999999" customHeight="1" x14ac:dyDescent="0.35">
      <c r="E20" s="16"/>
      <c r="F20" s="13"/>
      <c r="G20" s="13"/>
      <c r="H20" s="13"/>
      <c r="I20" s="13"/>
      <c r="J20" s="13"/>
      <c r="K20" s="13"/>
      <c r="L20" s="13"/>
      <c r="M20" s="10">
        <f>M16-M19+M17+M18</f>
        <v>332684.82455999998</v>
      </c>
    </row>
    <row r="21" spans="5:13" ht="15.5" x14ac:dyDescent="0.35">
      <c r="E21" s="7"/>
      <c r="F21" s="36" t="s">
        <v>43</v>
      </c>
      <c r="G21" s="36"/>
      <c r="H21" s="36"/>
      <c r="I21" s="36"/>
      <c r="J21" s="36"/>
      <c r="K21" s="36"/>
      <c r="L21" s="36"/>
      <c r="M21" s="36"/>
    </row>
    <row r="22" spans="5:13" ht="15.5" x14ac:dyDescent="0.35">
      <c r="E22" s="16"/>
      <c r="F22" s="24" t="s">
        <v>13</v>
      </c>
      <c r="G22" s="24"/>
      <c r="H22" s="24"/>
      <c r="I22" s="7"/>
      <c r="J22" s="7"/>
      <c r="K22" s="7"/>
      <c r="L22" s="7"/>
      <c r="M22" s="11"/>
    </row>
    <row r="23" spans="5:13" ht="15.5" x14ac:dyDescent="0.35">
      <c r="E23" s="16"/>
      <c r="F23" s="24" t="s">
        <v>22</v>
      </c>
      <c r="G23" s="24"/>
      <c r="H23" s="24"/>
      <c r="I23" s="7"/>
      <c r="J23" s="7"/>
      <c r="K23" s="7"/>
      <c r="L23" s="7"/>
      <c r="M23" s="11"/>
    </row>
    <row r="24" spans="5:13" ht="15.5" x14ac:dyDescent="0.35">
      <c r="E24" s="16"/>
      <c r="F24" s="24" t="s">
        <v>14</v>
      </c>
      <c r="G24" s="24"/>
      <c r="H24" s="24"/>
      <c r="I24" s="7"/>
      <c r="J24" s="7"/>
      <c r="K24" s="7"/>
      <c r="L24" s="7"/>
      <c r="M24" s="18">
        <f>M20-M22-M23</f>
        <v>332684.82455999998</v>
      </c>
    </row>
    <row r="25" spans="5:13" ht="15.5" x14ac:dyDescent="0.35">
      <c r="E25" s="7"/>
      <c r="F25" s="7"/>
      <c r="G25" s="7"/>
      <c r="H25" s="7"/>
      <c r="I25" s="7"/>
      <c r="J25" s="7"/>
      <c r="K25" s="7"/>
      <c r="L25" s="7"/>
      <c r="M25" s="7"/>
    </row>
    <row r="26" spans="5:13" x14ac:dyDescent="0.3">
      <c r="E26" s="27"/>
      <c r="F26" s="27"/>
      <c r="G26" s="27"/>
      <c r="H26" s="27"/>
      <c r="I26" s="27"/>
      <c r="J26" s="27"/>
      <c r="K26" s="27"/>
      <c r="L26" s="27"/>
      <c r="M26" s="27"/>
    </row>
    <row r="27" spans="5:13" x14ac:dyDescent="0.3">
      <c r="E27" s="27"/>
      <c r="F27" s="27"/>
      <c r="G27" s="27"/>
      <c r="H27" s="27"/>
      <c r="I27" s="27"/>
      <c r="J27" s="27"/>
      <c r="K27" s="27"/>
      <c r="L27" s="27"/>
      <c r="M27" s="27"/>
    </row>
    <row r="28" spans="5:13" x14ac:dyDescent="0.3">
      <c r="E28" s="27"/>
      <c r="F28" s="27"/>
      <c r="G28" s="27"/>
      <c r="H28" s="27"/>
      <c r="I28" s="27"/>
      <c r="J28" s="27"/>
      <c r="K28" s="27"/>
      <c r="L28" s="27"/>
      <c r="M28" s="27"/>
    </row>
    <row r="29" spans="5:13" x14ac:dyDescent="0.3">
      <c r="E29" s="26" t="s">
        <v>15</v>
      </c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3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ht="15.5" x14ac:dyDescent="0.35">
      <c r="E35" s="7"/>
      <c r="F35" s="7"/>
      <c r="G35" s="7"/>
      <c r="H35" s="7"/>
      <c r="I35" s="7"/>
      <c r="J35" s="7"/>
      <c r="K35" s="7"/>
      <c r="L35" s="7"/>
      <c r="M35" s="7"/>
    </row>
    <row r="36" spans="5:13" ht="15.5" x14ac:dyDescent="0.35">
      <c r="E36" s="7"/>
      <c r="F36" s="7"/>
      <c r="G36" s="7"/>
      <c r="H36" s="7"/>
      <c r="I36" s="7"/>
      <c r="J36" s="7"/>
      <c r="K36" s="7"/>
      <c r="L36" s="7"/>
      <c r="M36" s="7"/>
    </row>
  </sheetData>
  <mergeCells count="32">
    <mergeCell ref="F24:H24"/>
    <mergeCell ref="E26:M28"/>
    <mergeCell ref="E29:M30"/>
    <mergeCell ref="E31:M32"/>
    <mergeCell ref="E33:M34"/>
    <mergeCell ref="F21:M21"/>
    <mergeCell ref="F22:H22"/>
    <mergeCell ref="F23:H23"/>
    <mergeCell ref="E9:M9"/>
    <mergeCell ref="F10:H10"/>
    <mergeCell ref="F11:H11"/>
    <mergeCell ref="F14:H14"/>
    <mergeCell ref="F15:H15"/>
    <mergeCell ref="F16:L16"/>
    <mergeCell ref="F12:H12"/>
    <mergeCell ref="F13:H13"/>
    <mergeCell ref="F17:L17"/>
    <mergeCell ref="F18:L18"/>
    <mergeCell ref="F19:L19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76A8-838A-4879-A3BC-126F97278C68}">
  <sheetPr>
    <pageSetUpPr fitToPage="1"/>
  </sheetPr>
  <dimension ref="E2:O37"/>
  <sheetViews>
    <sheetView topLeftCell="B16" workbookViewId="0">
      <selection activeCell="E11" sqref="E1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47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45709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45709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52</v>
      </c>
      <c r="G11" s="32"/>
      <c r="H11" s="32"/>
      <c r="I11" s="5">
        <v>1</v>
      </c>
      <c r="J11" s="19">
        <v>122</v>
      </c>
      <c r="K11" s="17" t="s">
        <v>29</v>
      </c>
      <c r="L11" s="4">
        <v>1573.41</v>
      </c>
      <c r="M11" s="9">
        <f>J11*L11*I11</f>
        <v>191956.02000000002</v>
      </c>
    </row>
    <row r="12" spans="5:13" ht="33.9" customHeight="1" x14ac:dyDescent="0.3">
      <c r="E12" s="4">
        <v>2</v>
      </c>
      <c r="F12" s="32" t="s">
        <v>48</v>
      </c>
      <c r="G12" s="32"/>
      <c r="H12" s="32"/>
      <c r="I12" s="5">
        <v>1</v>
      </c>
      <c r="J12" s="19">
        <v>152.5</v>
      </c>
      <c r="K12" s="17" t="s">
        <v>29</v>
      </c>
      <c r="L12" s="4">
        <v>1092.4100000000001</v>
      </c>
      <c r="M12" s="9">
        <f>J12*L12*I12</f>
        <v>166592.52500000002</v>
      </c>
    </row>
    <row r="13" spans="5:13" ht="33.9" customHeight="1" x14ac:dyDescent="0.3">
      <c r="E13" s="4">
        <v>3</v>
      </c>
      <c r="F13" s="32" t="s">
        <v>49</v>
      </c>
      <c r="G13" s="32"/>
      <c r="H13" s="32"/>
      <c r="I13" s="5">
        <v>1</v>
      </c>
      <c r="J13" s="19">
        <v>18.3</v>
      </c>
      <c r="K13" s="17" t="s">
        <v>29</v>
      </c>
      <c r="L13" s="4">
        <v>690.81</v>
      </c>
      <c r="M13" s="9">
        <f t="shared" ref="M13" si="0">J13*L13*I13</f>
        <v>12641.823</v>
      </c>
    </row>
    <row r="14" spans="5:13" ht="33.9" customHeight="1" x14ac:dyDescent="0.3">
      <c r="E14" s="4">
        <v>4</v>
      </c>
      <c r="F14" s="32" t="s">
        <v>50</v>
      </c>
      <c r="G14" s="32"/>
      <c r="H14" s="32"/>
      <c r="I14" s="5">
        <v>1</v>
      </c>
      <c r="J14" s="19">
        <v>36.1</v>
      </c>
      <c r="K14" s="17" t="s">
        <v>29</v>
      </c>
      <c r="L14" s="4">
        <v>502.33</v>
      </c>
      <c r="M14" s="9">
        <f>J14*L14*I14</f>
        <v>18134.113000000001</v>
      </c>
    </row>
    <row r="15" spans="5:13" ht="33.9" customHeight="1" x14ac:dyDescent="0.3">
      <c r="E15" s="4">
        <v>5</v>
      </c>
      <c r="F15" s="32" t="s">
        <v>51</v>
      </c>
      <c r="G15" s="32"/>
      <c r="H15" s="32"/>
      <c r="I15" s="5">
        <v>1</v>
      </c>
      <c r="J15" s="19">
        <v>30.5</v>
      </c>
      <c r="K15" s="17" t="s">
        <v>29</v>
      </c>
      <c r="L15" s="4">
        <v>432.83</v>
      </c>
      <c r="M15" s="9">
        <f t="shared" ref="M15" si="1">J15*L15*I15</f>
        <v>13201.314999999999</v>
      </c>
    </row>
    <row r="16" spans="5:13" ht="33.9" customHeight="1" x14ac:dyDescent="0.3">
      <c r="E16" s="4">
        <v>6</v>
      </c>
      <c r="F16" s="32" t="s">
        <v>45</v>
      </c>
      <c r="G16" s="32"/>
      <c r="H16" s="32"/>
      <c r="I16" s="5">
        <v>1</v>
      </c>
      <c r="J16" s="19">
        <v>128.1</v>
      </c>
      <c r="K16" s="17" t="s">
        <v>29</v>
      </c>
      <c r="L16" s="4">
        <v>337.16</v>
      </c>
      <c r="M16" s="9">
        <f>J16*L16*I16</f>
        <v>43190.196000000004</v>
      </c>
    </row>
    <row r="17" spans="5:15" ht="17.399999999999999" customHeight="1" x14ac:dyDescent="0.35">
      <c r="E17" s="16"/>
      <c r="F17" s="34" t="s">
        <v>18</v>
      </c>
      <c r="G17" s="34"/>
      <c r="H17" s="34"/>
      <c r="I17" s="34"/>
      <c r="J17" s="34"/>
      <c r="K17" s="34"/>
      <c r="L17" s="34"/>
      <c r="M17" s="10">
        <f>SUM(M11:M16)</f>
        <v>445715.99200000003</v>
      </c>
    </row>
    <row r="18" spans="5:15" ht="17.399999999999999" customHeight="1" x14ac:dyDescent="0.35">
      <c r="E18" s="16"/>
      <c r="F18" s="35" t="s">
        <v>20</v>
      </c>
      <c r="G18" s="35"/>
      <c r="H18" s="35"/>
      <c r="I18" s="35"/>
      <c r="J18" s="35"/>
      <c r="K18" s="35"/>
      <c r="L18" s="35"/>
      <c r="M18" s="6">
        <f>M17*9%</f>
        <v>40114.439279999999</v>
      </c>
    </row>
    <row r="19" spans="5:15" ht="17.399999999999999" customHeight="1" x14ac:dyDescent="0.35">
      <c r="E19" s="16"/>
      <c r="F19" s="35" t="s">
        <v>21</v>
      </c>
      <c r="G19" s="35"/>
      <c r="H19" s="35"/>
      <c r="I19" s="35"/>
      <c r="J19" s="35"/>
      <c r="K19" s="35"/>
      <c r="L19" s="35"/>
      <c r="M19" s="6">
        <f>M17*9%</f>
        <v>40114.439279999999</v>
      </c>
    </row>
    <row r="20" spans="5:15" ht="17.399999999999999" customHeight="1" x14ac:dyDescent="0.35">
      <c r="E20" s="16"/>
      <c r="F20" s="35" t="s">
        <v>23</v>
      </c>
      <c r="G20" s="35"/>
      <c r="H20" s="35"/>
      <c r="I20" s="35"/>
      <c r="J20" s="35"/>
      <c r="K20" s="35"/>
      <c r="L20" s="35"/>
      <c r="M20" s="10"/>
      <c r="O20" s="20"/>
    </row>
    <row r="21" spans="5:15" ht="17.399999999999999" customHeight="1" x14ac:dyDescent="0.35">
      <c r="E21" s="16"/>
      <c r="F21" s="13"/>
      <c r="G21" s="13"/>
      <c r="H21" s="13"/>
      <c r="I21" s="13"/>
      <c r="J21" s="13"/>
      <c r="K21" s="13"/>
      <c r="L21" s="13"/>
      <c r="M21" s="10">
        <f>M17-M20+M18+M19</f>
        <v>525944.87056000007</v>
      </c>
      <c r="O21" s="21"/>
    </row>
    <row r="22" spans="5:15" ht="15.5" x14ac:dyDescent="0.35">
      <c r="E22" s="7"/>
      <c r="F22" s="36" t="s">
        <v>53</v>
      </c>
      <c r="G22" s="36"/>
      <c r="H22" s="36"/>
      <c r="I22" s="36"/>
      <c r="J22" s="36"/>
      <c r="K22" s="36"/>
      <c r="L22" s="36"/>
      <c r="M22" s="36"/>
    </row>
    <row r="23" spans="5:15" ht="15.5" x14ac:dyDescent="0.35">
      <c r="E23" s="16"/>
      <c r="F23" s="24" t="s">
        <v>13</v>
      </c>
      <c r="G23" s="24"/>
      <c r="H23" s="24"/>
      <c r="I23" s="7"/>
      <c r="J23" s="7"/>
      <c r="K23" s="7"/>
      <c r="L23" s="7"/>
      <c r="M23" s="11"/>
    </row>
    <row r="24" spans="5:15" ht="15.5" x14ac:dyDescent="0.35">
      <c r="E24" s="16"/>
      <c r="F24" s="24" t="s">
        <v>22</v>
      </c>
      <c r="G24" s="24"/>
      <c r="H24" s="24"/>
      <c r="I24" s="7"/>
      <c r="J24" s="7"/>
      <c r="K24" s="7"/>
      <c r="L24" s="7"/>
      <c r="M24" s="11"/>
    </row>
    <row r="25" spans="5:15" ht="15.5" x14ac:dyDescent="0.35">
      <c r="E25" s="16"/>
      <c r="F25" s="24" t="s">
        <v>14</v>
      </c>
      <c r="G25" s="24"/>
      <c r="H25" s="24"/>
      <c r="I25" s="7"/>
      <c r="J25" s="7"/>
      <c r="K25" s="7"/>
      <c r="L25" s="7"/>
      <c r="M25" s="18">
        <f>M21-M23-M24</f>
        <v>525944.87056000007</v>
      </c>
    </row>
    <row r="26" spans="5:15" ht="15.5" x14ac:dyDescent="0.35">
      <c r="E26" s="7"/>
      <c r="F26" s="7"/>
      <c r="G26" s="7"/>
      <c r="H26" s="7"/>
      <c r="I26" s="7"/>
      <c r="J26" s="7"/>
      <c r="K26" s="7"/>
      <c r="L26" s="7"/>
      <c r="M26" s="7"/>
    </row>
    <row r="27" spans="5:15" x14ac:dyDescent="0.3">
      <c r="E27" s="27"/>
      <c r="F27" s="27"/>
      <c r="G27" s="27"/>
      <c r="H27" s="27"/>
      <c r="I27" s="27"/>
      <c r="J27" s="27"/>
      <c r="K27" s="27"/>
      <c r="L27" s="27"/>
      <c r="M27" s="27"/>
    </row>
    <row r="28" spans="5:15" x14ac:dyDescent="0.3">
      <c r="E28" s="27"/>
      <c r="F28" s="27"/>
      <c r="G28" s="27"/>
      <c r="H28" s="27"/>
      <c r="I28" s="27"/>
      <c r="J28" s="27"/>
      <c r="K28" s="27"/>
      <c r="L28" s="27"/>
      <c r="M28" s="27"/>
    </row>
    <row r="29" spans="5:15" x14ac:dyDescent="0.3">
      <c r="E29" s="27"/>
      <c r="F29" s="27"/>
      <c r="G29" s="27"/>
      <c r="H29" s="27"/>
      <c r="I29" s="27"/>
      <c r="J29" s="27"/>
      <c r="K29" s="27"/>
      <c r="L29" s="27"/>
      <c r="M29" s="27"/>
    </row>
    <row r="30" spans="5:15" x14ac:dyDescent="0.3">
      <c r="E30" s="26" t="s">
        <v>15</v>
      </c>
      <c r="F30" s="26"/>
      <c r="G30" s="26"/>
      <c r="H30" s="26"/>
      <c r="I30" s="26"/>
      <c r="J30" s="26"/>
      <c r="K30" s="26"/>
      <c r="L30" s="26"/>
      <c r="M30" s="26"/>
    </row>
    <row r="31" spans="5:15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5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ht="15.5" x14ac:dyDescent="0.35">
      <c r="E36" s="7"/>
      <c r="F36" s="7"/>
      <c r="G36" s="7"/>
      <c r="H36" s="7"/>
      <c r="I36" s="7"/>
      <c r="J36" s="7"/>
      <c r="K36" s="7"/>
      <c r="L36" s="7"/>
      <c r="M36" s="7"/>
    </row>
    <row r="37" spans="5:13" ht="15.5" x14ac:dyDescent="0.35">
      <c r="E37" s="7"/>
      <c r="F37" s="7"/>
      <c r="G37" s="7"/>
      <c r="H37" s="7"/>
      <c r="I37" s="7"/>
      <c r="J37" s="7"/>
      <c r="K37" s="7"/>
      <c r="L37" s="7"/>
      <c r="M37" s="7"/>
    </row>
  </sheetData>
  <mergeCells count="33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E9:M9"/>
    <mergeCell ref="F10:H10"/>
    <mergeCell ref="F12:H12"/>
    <mergeCell ref="F13:H13"/>
    <mergeCell ref="F14:H14"/>
    <mergeCell ref="E34:M35"/>
    <mergeCell ref="F11:H11"/>
    <mergeCell ref="F23:H23"/>
    <mergeCell ref="F24:H24"/>
    <mergeCell ref="F25:H25"/>
    <mergeCell ref="E27:M29"/>
    <mergeCell ref="E30:M31"/>
    <mergeCell ref="E32:M33"/>
    <mergeCell ref="F16:H16"/>
    <mergeCell ref="F17:L17"/>
    <mergeCell ref="F18:L18"/>
    <mergeCell ref="F19:L19"/>
    <mergeCell ref="F20:L20"/>
    <mergeCell ref="F22:M22"/>
    <mergeCell ref="F15:H15"/>
  </mergeCells>
  <pageMargins left="0.7" right="0.7" top="0.75" bottom="0.75" header="0.3" footer="0.3"/>
  <pageSetup paperSize="9" scale="57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1996-1B00-405E-ADDF-DDF8744B27BC}">
  <sheetPr>
    <pageSetUpPr fitToPage="1"/>
  </sheetPr>
  <dimension ref="E2:O39"/>
  <sheetViews>
    <sheetView topLeftCell="B13" workbookViewId="0">
      <selection activeCell="O20" sqref="O2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63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45740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45737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54</v>
      </c>
      <c r="G11" s="32"/>
      <c r="H11" s="32"/>
      <c r="I11" s="5">
        <v>1</v>
      </c>
      <c r="J11" s="19">
        <v>85.4</v>
      </c>
      <c r="K11" s="17" t="s">
        <v>29</v>
      </c>
      <c r="L11" s="4">
        <v>529.20000000000005</v>
      </c>
      <c r="M11" s="9">
        <f>J11*L11*I11</f>
        <v>45193.680000000008</v>
      </c>
    </row>
    <row r="12" spans="5:13" ht="33.9" customHeight="1" x14ac:dyDescent="0.3">
      <c r="E12" s="4">
        <v>2</v>
      </c>
      <c r="F12" s="32" t="s">
        <v>55</v>
      </c>
      <c r="G12" s="32"/>
      <c r="H12" s="32"/>
      <c r="I12" s="5">
        <v>1</v>
      </c>
      <c r="J12" s="19">
        <v>291.5</v>
      </c>
      <c r="K12" s="17" t="s">
        <v>29</v>
      </c>
      <c r="L12" s="4">
        <v>352.8</v>
      </c>
      <c r="M12" s="9">
        <f>J12*L12*I12</f>
        <v>102841.2</v>
      </c>
    </row>
    <row r="13" spans="5:13" ht="33.9" customHeight="1" x14ac:dyDescent="0.3">
      <c r="E13" s="4">
        <v>3</v>
      </c>
      <c r="F13" s="32" t="s">
        <v>56</v>
      </c>
      <c r="G13" s="32"/>
      <c r="H13" s="32"/>
      <c r="I13" s="5">
        <v>1</v>
      </c>
      <c r="J13" s="19">
        <v>109.7</v>
      </c>
      <c r="K13" s="17" t="s">
        <v>29</v>
      </c>
      <c r="L13" s="4">
        <v>264.60000000000002</v>
      </c>
      <c r="M13" s="9">
        <f t="shared" ref="M13" si="0">J13*L13*I13</f>
        <v>29026.620000000003</v>
      </c>
    </row>
    <row r="14" spans="5:13" ht="33.9" customHeight="1" x14ac:dyDescent="0.3">
      <c r="E14" s="4">
        <v>4</v>
      </c>
      <c r="F14" s="32" t="s">
        <v>57</v>
      </c>
      <c r="G14" s="32"/>
      <c r="H14" s="32"/>
      <c r="I14" s="5">
        <v>1</v>
      </c>
      <c r="J14" s="19">
        <v>98.3</v>
      </c>
      <c r="K14" s="17" t="s">
        <v>29</v>
      </c>
      <c r="L14" s="4">
        <v>220.5</v>
      </c>
      <c r="M14" s="9">
        <f>J14*L14*I14</f>
        <v>21675.149999999998</v>
      </c>
    </row>
    <row r="15" spans="5:13" ht="33.9" customHeight="1" x14ac:dyDescent="0.3">
      <c r="E15" s="4">
        <v>5</v>
      </c>
      <c r="F15" s="32" t="s">
        <v>58</v>
      </c>
      <c r="G15" s="32"/>
      <c r="H15" s="32"/>
      <c r="I15" s="5">
        <v>1</v>
      </c>
      <c r="J15" s="19">
        <v>250.9</v>
      </c>
      <c r="K15" s="17" t="s">
        <v>29</v>
      </c>
      <c r="L15" s="4">
        <v>176.4</v>
      </c>
      <c r="M15" s="9">
        <f t="shared" ref="M15" si="1">J15*L15*I15</f>
        <v>44258.76</v>
      </c>
    </row>
    <row r="16" spans="5:13" ht="33.9" customHeight="1" x14ac:dyDescent="0.3">
      <c r="E16" s="4">
        <v>6</v>
      </c>
      <c r="F16" s="32" t="s">
        <v>59</v>
      </c>
      <c r="G16" s="32"/>
      <c r="H16" s="32"/>
      <c r="I16" s="5">
        <v>1</v>
      </c>
      <c r="J16" s="19">
        <v>123.05</v>
      </c>
      <c r="K16" s="17" t="s">
        <v>29</v>
      </c>
      <c r="L16" s="4">
        <v>132.30000000000001</v>
      </c>
      <c r="M16" s="9">
        <f>J16*L16*I16</f>
        <v>16279.515000000001</v>
      </c>
    </row>
    <row r="17" spans="5:15" ht="33.9" customHeight="1" x14ac:dyDescent="0.3">
      <c r="E17" s="4">
        <v>7</v>
      </c>
      <c r="F17" s="32" t="s">
        <v>60</v>
      </c>
      <c r="G17" s="32"/>
      <c r="H17" s="32"/>
      <c r="I17" s="5">
        <v>1</v>
      </c>
      <c r="J17" s="19">
        <v>134.75</v>
      </c>
      <c r="K17" s="17" t="s">
        <v>29</v>
      </c>
      <c r="L17" s="4">
        <v>110.25</v>
      </c>
      <c r="M17" s="9">
        <f t="shared" ref="M17" si="2">J17*L17*I17</f>
        <v>14856.1875</v>
      </c>
    </row>
    <row r="18" spans="5:15" ht="33.9" customHeight="1" x14ac:dyDescent="0.3">
      <c r="E18" s="4">
        <v>8</v>
      </c>
      <c r="F18" s="32" t="s">
        <v>61</v>
      </c>
      <c r="G18" s="32"/>
      <c r="H18" s="32"/>
      <c r="I18" s="5">
        <v>1</v>
      </c>
      <c r="J18" s="19">
        <v>457.4</v>
      </c>
      <c r="K18" s="17" t="s">
        <v>29</v>
      </c>
      <c r="L18" s="4">
        <v>88.2</v>
      </c>
      <c r="M18" s="9">
        <f>J18*L18*I18</f>
        <v>40342.68</v>
      </c>
    </row>
    <row r="19" spans="5:15" ht="17.399999999999999" customHeight="1" x14ac:dyDescent="0.35">
      <c r="E19" s="16"/>
      <c r="F19" s="34" t="s">
        <v>18</v>
      </c>
      <c r="G19" s="34"/>
      <c r="H19" s="34"/>
      <c r="I19" s="34"/>
      <c r="J19" s="34"/>
      <c r="K19" s="34"/>
      <c r="L19" s="34"/>
      <c r="M19" s="10">
        <f>SUM(M11:M18)</f>
        <v>314473.79250000004</v>
      </c>
    </row>
    <row r="20" spans="5:15" ht="17.399999999999999" customHeight="1" x14ac:dyDescent="0.35">
      <c r="E20" s="16"/>
      <c r="F20" s="35" t="s">
        <v>20</v>
      </c>
      <c r="G20" s="35"/>
      <c r="H20" s="35"/>
      <c r="I20" s="35"/>
      <c r="J20" s="35"/>
      <c r="K20" s="35"/>
      <c r="L20" s="35"/>
      <c r="M20" s="6">
        <f>M19*9%</f>
        <v>28302.641325000004</v>
      </c>
      <c r="O20" s="20"/>
    </row>
    <row r="21" spans="5:15" ht="17.399999999999999" customHeight="1" x14ac:dyDescent="0.35">
      <c r="E21" s="16"/>
      <c r="F21" s="35" t="s">
        <v>21</v>
      </c>
      <c r="G21" s="35"/>
      <c r="H21" s="35"/>
      <c r="I21" s="35"/>
      <c r="J21" s="35"/>
      <c r="K21" s="35"/>
      <c r="L21" s="35"/>
      <c r="M21" s="6">
        <f>M19*9%</f>
        <v>28302.641325000004</v>
      </c>
    </row>
    <row r="22" spans="5:15" ht="17.399999999999999" customHeight="1" x14ac:dyDescent="0.35">
      <c r="E22" s="16"/>
      <c r="F22" s="35" t="s">
        <v>23</v>
      </c>
      <c r="G22" s="35"/>
      <c r="H22" s="35"/>
      <c r="I22" s="35"/>
      <c r="J22" s="35"/>
      <c r="K22" s="35"/>
      <c r="L22" s="35"/>
      <c r="M22" s="10"/>
      <c r="O22" s="20"/>
    </row>
    <row r="23" spans="5:15" ht="17.399999999999999" customHeight="1" x14ac:dyDescent="0.35">
      <c r="E23" s="16"/>
      <c r="F23" s="13"/>
      <c r="G23" s="13"/>
      <c r="H23" s="13"/>
      <c r="I23" s="13"/>
      <c r="J23" s="13"/>
      <c r="K23" s="13"/>
      <c r="L23" s="13"/>
      <c r="M23" s="10">
        <f>M19-M22+M20+M21</f>
        <v>371079.07515000005</v>
      </c>
      <c r="O23" s="21"/>
    </row>
    <row r="24" spans="5:15" ht="15.5" x14ac:dyDescent="0.35">
      <c r="E24" s="7"/>
      <c r="F24" s="36" t="s">
        <v>62</v>
      </c>
      <c r="G24" s="36"/>
      <c r="H24" s="36"/>
      <c r="I24" s="36"/>
      <c r="J24" s="36"/>
      <c r="K24" s="36"/>
      <c r="L24" s="36"/>
      <c r="M24" s="36"/>
    </row>
    <row r="25" spans="5:15" ht="15.5" x14ac:dyDescent="0.35">
      <c r="E25" s="16"/>
      <c r="F25" s="24" t="s">
        <v>13</v>
      </c>
      <c r="G25" s="24"/>
      <c r="H25" s="24"/>
      <c r="I25" s="7"/>
      <c r="J25" s="7"/>
      <c r="K25" s="7"/>
      <c r="L25" s="7"/>
      <c r="M25" s="11"/>
    </row>
    <row r="26" spans="5:15" ht="15.5" x14ac:dyDescent="0.35">
      <c r="E26" s="16"/>
      <c r="F26" s="24" t="s">
        <v>22</v>
      </c>
      <c r="G26" s="24"/>
      <c r="H26" s="24"/>
      <c r="I26" s="7"/>
      <c r="J26" s="7"/>
      <c r="K26" s="7"/>
      <c r="L26" s="7"/>
      <c r="M26" s="11"/>
    </row>
    <row r="27" spans="5:15" ht="15.5" x14ac:dyDescent="0.35">
      <c r="E27" s="16"/>
      <c r="F27" s="24" t="s">
        <v>14</v>
      </c>
      <c r="G27" s="24"/>
      <c r="H27" s="24"/>
      <c r="I27" s="7"/>
      <c r="J27" s="7"/>
      <c r="K27" s="7"/>
      <c r="L27" s="7"/>
      <c r="M27" s="18">
        <f>M23-M25-M26</f>
        <v>371079.07515000005</v>
      </c>
    </row>
    <row r="28" spans="5:15" ht="15.5" x14ac:dyDescent="0.35">
      <c r="E28" s="7"/>
      <c r="F28" s="7"/>
      <c r="G28" s="7"/>
      <c r="H28" s="7"/>
      <c r="I28" s="7"/>
      <c r="J28" s="7"/>
      <c r="K28" s="7"/>
      <c r="L28" s="7"/>
      <c r="M28" s="7"/>
    </row>
    <row r="29" spans="5:15" x14ac:dyDescent="0.3">
      <c r="E29" s="27"/>
      <c r="F29" s="27"/>
      <c r="G29" s="27"/>
      <c r="H29" s="27"/>
      <c r="I29" s="27"/>
      <c r="J29" s="27"/>
      <c r="K29" s="27"/>
      <c r="L29" s="27"/>
      <c r="M29" s="27"/>
    </row>
    <row r="30" spans="5:15" x14ac:dyDescent="0.3">
      <c r="E30" s="27"/>
      <c r="F30" s="27"/>
      <c r="G30" s="27"/>
      <c r="H30" s="27"/>
      <c r="I30" s="27"/>
      <c r="J30" s="27"/>
      <c r="K30" s="27"/>
      <c r="L30" s="27"/>
      <c r="M30" s="27"/>
    </row>
    <row r="31" spans="5:15" x14ac:dyDescent="0.3">
      <c r="E31" s="27"/>
      <c r="F31" s="27"/>
      <c r="G31" s="27"/>
      <c r="H31" s="27"/>
      <c r="I31" s="27"/>
      <c r="J31" s="27"/>
      <c r="K31" s="27"/>
      <c r="L31" s="27"/>
      <c r="M31" s="27"/>
    </row>
    <row r="32" spans="5:15" x14ac:dyDescent="0.3">
      <c r="E32" s="26" t="s">
        <v>15</v>
      </c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x14ac:dyDescent="0.3">
      <c r="E36" s="26"/>
      <c r="F36" s="26"/>
      <c r="G36" s="26"/>
      <c r="H36" s="26"/>
      <c r="I36" s="26"/>
      <c r="J36" s="26"/>
      <c r="K36" s="26"/>
      <c r="L36" s="26"/>
      <c r="M36" s="26"/>
    </row>
    <row r="37" spans="5:13" x14ac:dyDescent="0.3">
      <c r="E37" s="26"/>
      <c r="F37" s="26"/>
      <c r="G37" s="26"/>
      <c r="H37" s="26"/>
      <c r="I37" s="26"/>
      <c r="J37" s="26"/>
      <c r="K37" s="26"/>
      <c r="L37" s="26"/>
      <c r="M37" s="26"/>
    </row>
    <row r="38" spans="5:13" ht="15.5" x14ac:dyDescent="0.35">
      <c r="E38" s="7"/>
      <c r="F38" s="7"/>
      <c r="G38" s="7"/>
      <c r="H38" s="7"/>
      <c r="I38" s="7"/>
      <c r="J38" s="7"/>
      <c r="K38" s="7"/>
      <c r="L38" s="7"/>
      <c r="M38" s="7"/>
    </row>
    <row r="39" spans="5:13" ht="15.5" x14ac:dyDescent="0.35">
      <c r="E39" s="7"/>
      <c r="F39" s="7"/>
      <c r="G39" s="7"/>
      <c r="H39" s="7"/>
      <c r="I39" s="7"/>
      <c r="J39" s="7"/>
      <c r="K39" s="7"/>
      <c r="L39" s="7"/>
      <c r="M39" s="7"/>
    </row>
  </sheetData>
  <mergeCells count="35">
    <mergeCell ref="E34:M35"/>
    <mergeCell ref="E36:M37"/>
    <mergeCell ref="F15:H15"/>
    <mergeCell ref="F16:H16"/>
    <mergeCell ref="F24:M24"/>
    <mergeCell ref="F25:H25"/>
    <mergeCell ref="F26:H26"/>
    <mergeCell ref="F27:H27"/>
    <mergeCell ref="E29:M31"/>
    <mergeCell ref="E32:M33"/>
    <mergeCell ref="F17:H17"/>
    <mergeCell ref="F18:H18"/>
    <mergeCell ref="F19:L19"/>
    <mergeCell ref="F20:L20"/>
    <mergeCell ref="F21:L21"/>
    <mergeCell ref="F22:L22"/>
    <mergeCell ref="F14:H14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1:H11"/>
    <mergeCell ref="F12:H12"/>
    <mergeCell ref="F13:H13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7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3A5F7-9969-4DD6-9736-E1C92DA86844}">
  <sheetPr>
    <pageSetUpPr fitToPage="1"/>
  </sheetPr>
  <dimension ref="E2:O33"/>
  <sheetViews>
    <sheetView topLeftCell="B6" workbookViewId="0">
      <selection activeCell="F15" sqref="F15:L15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64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45765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65</v>
      </c>
      <c r="G11" s="32"/>
      <c r="H11" s="32"/>
      <c r="I11" s="5">
        <v>1</v>
      </c>
      <c r="J11" s="19">
        <v>52</v>
      </c>
      <c r="K11" s="17" t="s">
        <v>66</v>
      </c>
      <c r="L11" s="4">
        <v>3591</v>
      </c>
      <c r="M11" s="9">
        <f>J11*L11*I11</f>
        <v>186732</v>
      </c>
    </row>
    <row r="12" spans="5:15" ht="33.9" customHeight="1" x14ac:dyDescent="0.3">
      <c r="E12" s="4">
        <v>2</v>
      </c>
      <c r="F12" s="32" t="s">
        <v>124</v>
      </c>
      <c r="G12" s="32"/>
      <c r="H12" s="32"/>
      <c r="I12" s="5">
        <v>1</v>
      </c>
      <c r="J12" s="19">
        <v>1</v>
      </c>
      <c r="K12" s="17" t="s">
        <v>66</v>
      </c>
      <c r="L12" s="4">
        <v>5430</v>
      </c>
      <c r="M12" s="9">
        <f>J12*L12*I12</f>
        <v>5430</v>
      </c>
    </row>
    <row r="13" spans="5:15" ht="17.399999999999999" customHeight="1" x14ac:dyDescent="0.35">
      <c r="E13" s="16"/>
      <c r="F13" s="34" t="s">
        <v>18</v>
      </c>
      <c r="G13" s="34"/>
      <c r="H13" s="34"/>
      <c r="I13" s="34"/>
      <c r="J13" s="34"/>
      <c r="K13" s="34"/>
      <c r="L13" s="34"/>
      <c r="M13" s="10">
        <f>SUM(M11:M12)</f>
        <v>192162</v>
      </c>
    </row>
    <row r="14" spans="5:15" ht="17.399999999999999" customHeight="1" x14ac:dyDescent="0.35">
      <c r="E14" s="16"/>
      <c r="F14" s="35" t="s">
        <v>20</v>
      </c>
      <c r="G14" s="35"/>
      <c r="H14" s="35"/>
      <c r="I14" s="35"/>
      <c r="J14" s="35"/>
      <c r="K14" s="35"/>
      <c r="L14" s="35"/>
      <c r="M14" s="6">
        <f>M13*9%</f>
        <v>17294.579999999998</v>
      </c>
      <c r="O14" s="20"/>
    </row>
    <row r="15" spans="5:15" ht="17.399999999999999" customHeight="1" x14ac:dyDescent="0.35">
      <c r="E15" s="16"/>
      <c r="F15" s="35" t="s">
        <v>21</v>
      </c>
      <c r="G15" s="35"/>
      <c r="H15" s="35"/>
      <c r="I15" s="35"/>
      <c r="J15" s="35"/>
      <c r="K15" s="35"/>
      <c r="L15" s="35"/>
      <c r="M15" s="6">
        <f>M13*9%</f>
        <v>17294.579999999998</v>
      </c>
    </row>
    <row r="16" spans="5:15" ht="17.399999999999999" customHeight="1" x14ac:dyDescent="0.35">
      <c r="E16" s="16"/>
      <c r="F16" s="35" t="s">
        <v>23</v>
      </c>
      <c r="G16" s="35"/>
      <c r="H16" s="35"/>
      <c r="I16" s="35"/>
      <c r="J16" s="35"/>
      <c r="K16" s="35"/>
      <c r="L16" s="35"/>
      <c r="M16" s="10"/>
      <c r="O16" s="20"/>
    </row>
    <row r="17" spans="5:15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M13-M16+M14+M15</f>
        <v>226751.15999999997</v>
      </c>
      <c r="O17" s="21"/>
    </row>
    <row r="18" spans="5:15" ht="15.5" x14ac:dyDescent="0.35">
      <c r="E18" s="7"/>
      <c r="F18" s="36" t="s">
        <v>67</v>
      </c>
      <c r="G18" s="36"/>
      <c r="H18" s="36"/>
      <c r="I18" s="36"/>
      <c r="J18" s="36"/>
      <c r="K18" s="36"/>
      <c r="L18" s="36"/>
      <c r="M18" s="36"/>
    </row>
    <row r="19" spans="5:15" ht="15.5" x14ac:dyDescent="0.35">
      <c r="E19" s="16"/>
      <c r="F19" s="24" t="s">
        <v>13</v>
      </c>
      <c r="G19" s="24"/>
      <c r="H19" s="24"/>
      <c r="I19" s="7"/>
      <c r="J19" s="7"/>
      <c r="K19" s="7"/>
      <c r="L19" s="7"/>
      <c r="M19" s="11"/>
    </row>
    <row r="20" spans="5:15" ht="15.5" x14ac:dyDescent="0.35">
      <c r="E20" s="16"/>
      <c r="F20" s="24" t="s">
        <v>22</v>
      </c>
      <c r="G20" s="24"/>
      <c r="H20" s="24"/>
      <c r="I20" s="7"/>
      <c r="J20" s="7"/>
      <c r="K20" s="7"/>
      <c r="L20" s="7"/>
      <c r="M20" s="11"/>
    </row>
    <row r="21" spans="5:15" ht="15.5" x14ac:dyDescent="0.35">
      <c r="E21" s="16"/>
      <c r="F21" s="24" t="s">
        <v>14</v>
      </c>
      <c r="G21" s="24"/>
      <c r="H21" s="24"/>
      <c r="I21" s="7"/>
      <c r="J21" s="7"/>
      <c r="K21" s="7"/>
      <c r="L21" s="7"/>
      <c r="M21" s="18">
        <f>M17-M19-M20</f>
        <v>226751.15999999997</v>
      </c>
    </row>
    <row r="22" spans="5:15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5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5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5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5" x14ac:dyDescent="0.3">
      <c r="E26" s="26" t="s">
        <v>15</v>
      </c>
      <c r="F26" s="26"/>
      <c r="G26" s="26"/>
      <c r="H26" s="26"/>
      <c r="I26" s="26"/>
      <c r="J26" s="26"/>
      <c r="K26" s="26"/>
      <c r="L26" s="26"/>
      <c r="M26" s="26"/>
    </row>
    <row r="27" spans="5:15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5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5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5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5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5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F14:L14"/>
    <mergeCell ref="E9:M9"/>
    <mergeCell ref="F10:H10"/>
    <mergeCell ref="F11:H11"/>
    <mergeCell ref="F12:H12"/>
    <mergeCell ref="F13:L13"/>
    <mergeCell ref="E23:M25"/>
    <mergeCell ref="E26:M27"/>
    <mergeCell ref="E28:M29"/>
    <mergeCell ref="E30:M31"/>
    <mergeCell ref="F15:L15"/>
    <mergeCell ref="F16:L16"/>
    <mergeCell ref="F18:M18"/>
    <mergeCell ref="F19:H19"/>
    <mergeCell ref="F20:H20"/>
    <mergeCell ref="F21:H21"/>
  </mergeCells>
  <pageMargins left="0.7" right="0.7" top="0.75" bottom="0.75" header="0.3" footer="0.3"/>
  <pageSetup paperSize="9" scale="57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9CF6-E13C-487C-A270-471147A08342}">
  <sheetPr>
    <pageSetUpPr fitToPage="1"/>
  </sheetPr>
  <dimension ref="E2:O41"/>
  <sheetViews>
    <sheetView topLeftCell="B16" workbookViewId="0">
      <selection activeCell="E22" sqref="E22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4.179687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68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45756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69</v>
      </c>
      <c r="G11" s="32"/>
      <c r="H11" s="32"/>
      <c r="I11" s="5">
        <v>1</v>
      </c>
      <c r="J11" s="19">
        <v>5</v>
      </c>
      <c r="K11" s="17" t="s">
        <v>66</v>
      </c>
      <c r="L11" s="4">
        <v>2832.48</v>
      </c>
      <c r="M11" s="9">
        <f t="shared" ref="M11:M20" si="0">J11*L11*I11</f>
        <v>14162.4</v>
      </c>
    </row>
    <row r="12" spans="5:13" ht="33.9" customHeight="1" x14ac:dyDescent="0.3">
      <c r="E12" s="4">
        <v>2</v>
      </c>
      <c r="F12" s="32" t="s">
        <v>70</v>
      </c>
      <c r="G12" s="32"/>
      <c r="H12" s="32"/>
      <c r="I12" s="5">
        <v>1</v>
      </c>
      <c r="J12" s="19">
        <v>1</v>
      </c>
      <c r="K12" s="17" t="s">
        <v>66</v>
      </c>
      <c r="L12" s="4">
        <v>1940.4</v>
      </c>
      <c r="M12" s="9">
        <f t="shared" si="0"/>
        <v>1940.4</v>
      </c>
    </row>
    <row r="13" spans="5:13" ht="33.9" customHeight="1" x14ac:dyDescent="0.3">
      <c r="E13" s="4">
        <v>3</v>
      </c>
      <c r="F13" s="32" t="s">
        <v>71</v>
      </c>
      <c r="G13" s="32"/>
      <c r="H13" s="32"/>
      <c r="I13" s="5">
        <v>1</v>
      </c>
      <c r="J13" s="19">
        <v>1</v>
      </c>
      <c r="K13" s="17" t="s">
        <v>66</v>
      </c>
      <c r="L13" s="4">
        <v>1656.9</v>
      </c>
      <c r="M13" s="9">
        <f t="shared" si="0"/>
        <v>1656.9</v>
      </c>
    </row>
    <row r="14" spans="5:13" ht="33.9" customHeight="1" x14ac:dyDescent="0.3">
      <c r="E14" s="4">
        <v>4</v>
      </c>
      <c r="F14" s="32" t="s">
        <v>72</v>
      </c>
      <c r="G14" s="32"/>
      <c r="H14" s="32"/>
      <c r="I14" s="5">
        <v>1</v>
      </c>
      <c r="J14" s="19">
        <v>1</v>
      </c>
      <c r="K14" s="17" t="s">
        <v>66</v>
      </c>
      <c r="L14" s="4">
        <v>1477.98</v>
      </c>
      <c r="M14" s="9">
        <f t="shared" si="0"/>
        <v>1477.98</v>
      </c>
    </row>
    <row r="15" spans="5:13" ht="33.9" customHeight="1" x14ac:dyDescent="0.3">
      <c r="E15" s="4">
        <v>5</v>
      </c>
      <c r="F15" s="32" t="s">
        <v>73</v>
      </c>
      <c r="G15" s="32"/>
      <c r="H15" s="32"/>
      <c r="I15" s="5">
        <v>1</v>
      </c>
      <c r="J15" s="19">
        <v>3</v>
      </c>
      <c r="K15" s="17" t="s">
        <v>66</v>
      </c>
      <c r="L15" s="4">
        <v>3137.4</v>
      </c>
      <c r="M15" s="9">
        <f t="shared" si="0"/>
        <v>9412.2000000000007</v>
      </c>
    </row>
    <row r="16" spans="5:13" ht="33.9" customHeight="1" x14ac:dyDescent="0.3">
      <c r="E16" s="4">
        <v>6</v>
      </c>
      <c r="F16" s="32" t="s">
        <v>74</v>
      </c>
      <c r="G16" s="32"/>
      <c r="H16" s="32"/>
      <c r="I16" s="5">
        <v>1</v>
      </c>
      <c r="J16" s="19">
        <v>1</v>
      </c>
      <c r="K16" s="17" t="s">
        <v>66</v>
      </c>
      <c r="L16" s="4">
        <v>1575</v>
      </c>
      <c r="M16" s="9">
        <f t="shared" si="0"/>
        <v>1575</v>
      </c>
    </row>
    <row r="17" spans="5:15" ht="33.9" customHeight="1" x14ac:dyDescent="0.3">
      <c r="E17" s="4">
        <v>7</v>
      </c>
      <c r="F17" s="32" t="s">
        <v>75</v>
      </c>
      <c r="G17" s="32"/>
      <c r="H17" s="32"/>
      <c r="I17" s="5">
        <v>1</v>
      </c>
      <c r="J17" s="19">
        <v>1</v>
      </c>
      <c r="K17" s="17" t="s">
        <v>66</v>
      </c>
      <c r="L17" s="4">
        <v>776.65</v>
      </c>
      <c r="M17" s="9">
        <f t="shared" si="0"/>
        <v>776.65</v>
      </c>
    </row>
    <row r="18" spans="5:15" ht="33.9" customHeight="1" x14ac:dyDescent="0.3">
      <c r="E18" s="4">
        <v>8</v>
      </c>
      <c r="F18" s="32" t="s">
        <v>76</v>
      </c>
      <c r="G18" s="32"/>
      <c r="H18" s="32"/>
      <c r="I18" s="5">
        <v>1</v>
      </c>
      <c r="J18" s="19">
        <v>9</v>
      </c>
      <c r="K18" s="17" t="s">
        <v>66</v>
      </c>
      <c r="L18" s="4">
        <v>354.6</v>
      </c>
      <c r="M18" s="9">
        <f t="shared" si="0"/>
        <v>3191.4</v>
      </c>
    </row>
    <row r="19" spans="5:15" ht="33.9" customHeight="1" x14ac:dyDescent="0.3">
      <c r="E19" s="4">
        <v>9</v>
      </c>
      <c r="F19" s="32" t="s">
        <v>77</v>
      </c>
      <c r="G19" s="32"/>
      <c r="H19" s="32"/>
      <c r="I19" s="5">
        <v>1</v>
      </c>
      <c r="J19" s="19">
        <v>2</v>
      </c>
      <c r="K19" s="17" t="s">
        <v>66</v>
      </c>
      <c r="L19" s="4">
        <v>11726.82</v>
      </c>
      <c r="M19" s="9">
        <f t="shared" si="0"/>
        <v>23453.64</v>
      </c>
    </row>
    <row r="20" spans="5:15" ht="33.9" customHeight="1" x14ac:dyDescent="0.3">
      <c r="E20" s="4">
        <v>10</v>
      </c>
      <c r="F20" s="32" t="s">
        <v>78</v>
      </c>
      <c r="G20" s="32"/>
      <c r="H20" s="32"/>
      <c r="I20" s="5">
        <v>1</v>
      </c>
      <c r="J20" s="19">
        <v>4</v>
      </c>
      <c r="K20" s="17" t="s">
        <v>66</v>
      </c>
      <c r="L20" s="4">
        <v>1260</v>
      </c>
      <c r="M20" s="9">
        <f t="shared" si="0"/>
        <v>5040</v>
      </c>
    </row>
    <row r="21" spans="5:15" ht="17.399999999999999" customHeight="1" x14ac:dyDescent="0.35">
      <c r="E21" s="16"/>
      <c r="F21" s="34" t="s">
        <v>18</v>
      </c>
      <c r="G21" s="34"/>
      <c r="H21" s="34"/>
      <c r="I21" s="34"/>
      <c r="J21" s="34"/>
      <c r="K21" s="34"/>
      <c r="L21" s="34"/>
      <c r="M21" s="10">
        <f>SUM(M11:M20)</f>
        <v>62686.57</v>
      </c>
    </row>
    <row r="22" spans="5:15" ht="17.399999999999999" customHeight="1" x14ac:dyDescent="0.35">
      <c r="E22" s="16"/>
      <c r="F22" s="35" t="s">
        <v>20</v>
      </c>
      <c r="G22" s="35"/>
      <c r="H22" s="35"/>
      <c r="I22" s="35"/>
      <c r="J22" s="35"/>
      <c r="K22" s="35"/>
      <c r="L22" s="35"/>
      <c r="M22" s="6">
        <f>M21*9%</f>
        <v>5641.7912999999999</v>
      </c>
      <c r="O22" s="20"/>
    </row>
    <row r="23" spans="5:15" ht="17.399999999999999" customHeight="1" x14ac:dyDescent="0.35">
      <c r="E23" s="16"/>
      <c r="F23" s="35" t="s">
        <v>21</v>
      </c>
      <c r="G23" s="35"/>
      <c r="H23" s="35"/>
      <c r="I23" s="35"/>
      <c r="J23" s="35"/>
      <c r="K23" s="35"/>
      <c r="L23" s="35"/>
      <c r="M23" s="6">
        <f>M21*9%</f>
        <v>5641.7912999999999</v>
      </c>
    </row>
    <row r="24" spans="5:15" ht="17.399999999999999" customHeight="1" x14ac:dyDescent="0.35">
      <c r="E24" s="16"/>
      <c r="F24" s="35" t="s">
        <v>23</v>
      </c>
      <c r="G24" s="35"/>
      <c r="H24" s="35"/>
      <c r="I24" s="35"/>
      <c r="J24" s="35"/>
      <c r="K24" s="35"/>
      <c r="L24" s="35"/>
      <c r="M24" s="10"/>
      <c r="O24" s="20"/>
    </row>
    <row r="25" spans="5:15" ht="17.399999999999999" customHeight="1" x14ac:dyDescent="0.35">
      <c r="E25" s="16"/>
      <c r="F25" s="13"/>
      <c r="G25" s="13"/>
      <c r="H25" s="13"/>
      <c r="I25" s="13"/>
      <c r="J25" s="13"/>
      <c r="K25" s="13"/>
      <c r="L25" s="13"/>
      <c r="M25" s="10">
        <f>M21-M24+M22+M23</f>
        <v>73970.152600000001</v>
      </c>
      <c r="O25" s="21"/>
    </row>
    <row r="26" spans="5:15" ht="15.5" x14ac:dyDescent="0.35">
      <c r="E26" s="7"/>
      <c r="F26" s="36" t="s">
        <v>79</v>
      </c>
      <c r="G26" s="36"/>
      <c r="H26" s="36"/>
      <c r="I26" s="36"/>
      <c r="J26" s="36"/>
      <c r="K26" s="36"/>
      <c r="L26" s="36"/>
      <c r="M26" s="36"/>
    </row>
    <row r="27" spans="5:15" ht="15.5" x14ac:dyDescent="0.35">
      <c r="E27" s="16"/>
      <c r="F27" s="24" t="s">
        <v>13</v>
      </c>
      <c r="G27" s="24"/>
      <c r="H27" s="24"/>
      <c r="I27" s="7"/>
      <c r="J27" s="7"/>
      <c r="K27" s="7"/>
      <c r="L27" s="7"/>
      <c r="M27" s="11"/>
    </row>
    <row r="28" spans="5:15" ht="15.5" x14ac:dyDescent="0.35">
      <c r="E28" s="16"/>
      <c r="F28" s="24" t="s">
        <v>22</v>
      </c>
      <c r="G28" s="24"/>
      <c r="H28" s="24"/>
      <c r="I28" s="7"/>
      <c r="J28" s="7"/>
      <c r="K28" s="7"/>
      <c r="L28" s="7"/>
      <c r="M28" s="11"/>
    </row>
    <row r="29" spans="5:15" ht="15.5" x14ac:dyDescent="0.35">
      <c r="E29" s="16"/>
      <c r="F29" s="24" t="s">
        <v>14</v>
      </c>
      <c r="G29" s="24"/>
      <c r="H29" s="24"/>
      <c r="I29" s="7"/>
      <c r="J29" s="7"/>
      <c r="K29" s="7"/>
      <c r="L29" s="7"/>
      <c r="M29" s="18">
        <f>M25-M27-M28</f>
        <v>73970.152600000001</v>
      </c>
    </row>
    <row r="30" spans="5:15" ht="15.5" x14ac:dyDescent="0.35">
      <c r="E30" s="7"/>
      <c r="F30" s="7"/>
      <c r="G30" s="7"/>
      <c r="H30" s="7"/>
      <c r="I30" s="7"/>
      <c r="J30" s="7"/>
      <c r="K30" s="7"/>
      <c r="L30" s="7"/>
      <c r="M30" s="7"/>
    </row>
    <row r="31" spans="5:15" x14ac:dyDescent="0.3">
      <c r="E31" s="27"/>
      <c r="F31" s="27"/>
      <c r="G31" s="27"/>
      <c r="H31" s="27"/>
      <c r="I31" s="27"/>
      <c r="J31" s="27"/>
      <c r="K31" s="27"/>
      <c r="L31" s="27"/>
      <c r="M31" s="27"/>
    </row>
    <row r="32" spans="5:15" x14ac:dyDescent="0.3">
      <c r="E32" s="27"/>
      <c r="F32" s="27"/>
      <c r="G32" s="27"/>
      <c r="H32" s="27"/>
      <c r="I32" s="27"/>
      <c r="J32" s="27"/>
      <c r="K32" s="27"/>
      <c r="L32" s="27"/>
      <c r="M32" s="27"/>
    </row>
    <row r="33" spans="5:13" x14ac:dyDescent="0.3">
      <c r="E33" s="27"/>
      <c r="F33" s="27"/>
      <c r="G33" s="27"/>
      <c r="H33" s="27"/>
      <c r="I33" s="27"/>
      <c r="J33" s="27"/>
      <c r="K33" s="27"/>
      <c r="L33" s="27"/>
      <c r="M33" s="27"/>
    </row>
    <row r="34" spans="5:13" x14ac:dyDescent="0.3">
      <c r="E34" s="26" t="s">
        <v>15</v>
      </c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x14ac:dyDescent="0.3">
      <c r="E36" s="26"/>
      <c r="F36" s="26"/>
      <c r="G36" s="26"/>
      <c r="H36" s="26"/>
      <c r="I36" s="26"/>
      <c r="J36" s="26"/>
      <c r="K36" s="26"/>
      <c r="L36" s="26"/>
      <c r="M36" s="26"/>
    </row>
    <row r="37" spans="5:13" x14ac:dyDescent="0.3">
      <c r="E37" s="26"/>
      <c r="F37" s="26"/>
      <c r="G37" s="26"/>
      <c r="H37" s="26"/>
      <c r="I37" s="26"/>
      <c r="J37" s="26"/>
      <c r="K37" s="26"/>
      <c r="L37" s="26"/>
      <c r="M37" s="26"/>
    </row>
    <row r="38" spans="5:13" x14ac:dyDescent="0.3">
      <c r="E38" s="26"/>
      <c r="F38" s="26"/>
      <c r="G38" s="26"/>
      <c r="H38" s="26"/>
      <c r="I38" s="26"/>
      <c r="J38" s="26"/>
      <c r="K38" s="26"/>
      <c r="L38" s="26"/>
      <c r="M38" s="26"/>
    </row>
    <row r="39" spans="5:13" x14ac:dyDescent="0.3">
      <c r="E39" s="26"/>
      <c r="F39" s="26"/>
      <c r="G39" s="26"/>
      <c r="H39" s="26"/>
      <c r="I39" s="26"/>
      <c r="J39" s="26"/>
      <c r="K39" s="26"/>
      <c r="L39" s="26"/>
      <c r="M39" s="26"/>
    </row>
    <row r="40" spans="5:13" ht="15.5" x14ac:dyDescent="0.35">
      <c r="E40" s="7"/>
      <c r="F40" s="7"/>
      <c r="G40" s="7"/>
      <c r="H40" s="7"/>
      <c r="I40" s="7"/>
      <c r="J40" s="7"/>
      <c r="K40" s="7"/>
      <c r="L40" s="7"/>
      <c r="M40" s="7"/>
    </row>
    <row r="41" spans="5:13" ht="15.5" x14ac:dyDescent="0.35">
      <c r="E41" s="7"/>
      <c r="F41" s="7"/>
      <c r="G41" s="7"/>
      <c r="H41" s="7"/>
      <c r="I41" s="7"/>
      <c r="J41" s="7"/>
      <c r="K41" s="7"/>
      <c r="L41" s="7"/>
      <c r="M41" s="7"/>
    </row>
  </sheetData>
  <mergeCells count="37">
    <mergeCell ref="E36:M37"/>
    <mergeCell ref="E38:M39"/>
    <mergeCell ref="F18:H18"/>
    <mergeCell ref="F26:M26"/>
    <mergeCell ref="F27:H27"/>
    <mergeCell ref="F28:H28"/>
    <mergeCell ref="F29:H29"/>
    <mergeCell ref="F23:L23"/>
    <mergeCell ref="F24:L24"/>
    <mergeCell ref="F22:L22"/>
    <mergeCell ref="E31:M33"/>
    <mergeCell ref="E34:M35"/>
    <mergeCell ref="E9:M9"/>
    <mergeCell ref="F10:H10"/>
    <mergeCell ref="F11:H11"/>
    <mergeCell ref="F20:H20"/>
    <mergeCell ref="F21:L21"/>
    <mergeCell ref="F12:H12"/>
    <mergeCell ref="F13:H13"/>
    <mergeCell ref="F14:H14"/>
    <mergeCell ref="F15:H15"/>
    <mergeCell ref="F16:H16"/>
    <mergeCell ref="F17:H17"/>
    <mergeCell ref="F19:H19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D67C-C03F-4DFC-A81D-BD24A2356071}">
  <sheetPr>
    <pageSetUpPr fitToPage="1"/>
  </sheetPr>
  <dimension ref="E2:O34"/>
  <sheetViews>
    <sheetView topLeftCell="B10" workbookViewId="0">
      <selection activeCell="E2" sqref="E2:M32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80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45756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82</v>
      </c>
      <c r="G11" s="32"/>
      <c r="H11" s="32"/>
      <c r="I11" s="5">
        <v>1</v>
      </c>
      <c r="J11" s="19">
        <v>1</v>
      </c>
      <c r="K11" s="17" t="s">
        <v>66</v>
      </c>
      <c r="L11" s="4">
        <v>226800</v>
      </c>
      <c r="M11" s="9">
        <f>J11*L11*I11</f>
        <v>226800</v>
      </c>
    </row>
    <row r="12" spans="5:15" ht="33.9" customHeight="1" x14ac:dyDescent="0.3">
      <c r="E12" s="4">
        <v>2</v>
      </c>
      <c r="F12" s="32" t="s">
        <v>81</v>
      </c>
      <c r="G12" s="32"/>
      <c r="H12" s="32"/>
      <c r="I12" s="5">
        <v>1</v>
      </c>
      <c r="J12" s="19">
        <v>1</v>
      </c>
      <c r="K12" s="17" t="s">
        <v>66</v>
      </c>
      <c r="L12" s="4">
        <v>453600</v>
      </c>
      <c r="M12" s="9">
        <f>J12*L12*I12</f>
        <v>453600</v>
      </c>
    </row>
    <row r="13" spans="5:15" ht="33.9" customHeight="1" x14ac:dyDescent="0.3">
      <c r="E13" s="4">
        <v>3</v>
      </c>
      <c r="F13" s="32" t="s">
        <v>83</v>
      </c>
      <c r="G13" s="32"/>
      <c r="H13" s="32"/>
      <c r="I13" s="5">
        <v>1</v>
      </c>
      <c r="J13" s="19">
        <v>1</v>
      </c>
      <c r="K13" s="17" t="s">
        <v>66</v>
      </c>
      <c r="L13" s="4">
        <v>98280</v>
      </c>
      <c r="M13" s="9">
        <f>J13*L13*I13</f>
        <v>98280</v>
      </c>
    </row>
    <row r="14" spans="5:15" ht="17.399999999999999" customHeight="1" x14ac:dyDescent="0.35">
      <c r="E14" s="16"/>
      <c r="F14" s="34" t="s">
        <v>18</v>
      </c>
      <c r="G14" s="34"/>
      <c r="H14" s="34"/>
      <c r="I14" s="34"/>
      <c r="J14" s="34"/>
      <c r="K14" s="34"/>
      <c r="L14" s="34"/>
      <c r="M14" s="10">
        <f>SUM(M11:M13)</f>
        <v>778680</v>
      </c>
    </row>
    <row r="15" spans="5:15" ht="17.399999999999999" customHeight="1" x14ac:dyDescent="0.35">
      <c r="E15" s="16"/>
      <c r="F15" s="35" t="s">
        <v>20</v>
      </c>
      <c r="G15" s="35"/>
      <c r="H15" s="35"/>
      <c r="I15" s="35"/>
      <c r="J15" s="35"/>
      <c r="K15" s="35"/>
      <c r="L15" s="35"/>
      <c r="M15" s="6">
        <f>M14*9%</f>
        <v>70081.2</v>
      </c>
      <c r="O15" s="20"/>
    </row>
    <row r="16" spans="5:15" ht="17.399999999999999" customHeight="1" x14ac:dyDescent="0.35">
      <c r="E16" s="16"/>
      <c r="F16" s="35" t="s">
        <v>21</v>
      </c>
      <c r="G16" s="35"/>
      <c r="H16" s="35"/>
      <c r="I16" s="35"/>
      <c r="J16" s="35"/>
      <c r="K16" s="35"/>
      <c r="L16" s="35"/>
      <c r="M16" s="6">
        <f>M14*9%</f>
        <v>70081.2</v>
      </c>
    </row>
    <row r="17" spans="5:15" ht="17.399999999999999" customHeight="1" x14ac:dyDescent="0.35">
      <c r="E17" s="16"/>
      <c r="F17" s="35" t="s">
        <v>23</v>
      </c>
      <c r="G17" s="35"/>
      <c r="H17" s="35"/>
      <c r="I17" s="35"/>
      <c r="J17" s="35"/>
      <c r="K17" s="35"/>
      <c r="L17" s="35"/>
      <c r="M17" s="10"/>
      <c r="O17" s="20"/>
    </row>
    <row r="18" spans="5:15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0">
        <f>M14-M17+M15+M16</f>
        <v>918842.39999999991</v>
      </c>
      <c r="O18" s="21"/>
    </row>
    <row r="19" spans="5:15" ht="15.5" x14ac:dyDescent="0.35">
      <c r="E19" s="7"/>
      <c r="F19" s="36" t="s">
        <v>84</v>
      </c>
      <c r="G19" s="36"/>
      <c r="H19" s="36"/>
      <c r="I19" s="36"/>
      <c r="J19" s="36"/>
      <c r="K19" s="36"/>
      <c r="L19" s="36"/>
      <c r="M19" s="36"/>
    </row>
    <row r="20" spans="5:15" ht="15.5" x14ac:dyDescent="0.35">
      <c r="E20" s="16"/>
      <c r="F20" s="24" t="s">
        <v>13</v>
      </c>
      <c r="G20" s="24"/>
      <c r="H20" s="24"/>
      <c r="I20" s="7"/>
      <c r="J20" s="7"/>
      <c r="K20" s="7"/>
      <c r="L20" s="7"/>
      <c r="M20" s="11"/>
    </row>
    <row r="21" spans="5:15" ht="15.5" x14ac:dyDescent="0.35">
      <c r="E21" s="16"/>
      <c r="F21" s="24" t="s">
        <v>22</v>
      </c>
      <c r="G21" s="24"/>
      <c r="H21" s="24"/>
      <c r="I21" s="7"/>
      <c r="J21" s="7"/>
      <c r="K21" s="7"/>
      <c r="L21" s="7"/>
      <c r="M21" s="11"/>
    </row>
    <row r="22" spans="5:15" ht="15.5" x14ac:dyDescent="0.35">
      <c r="E22" s="16"/>
      <c r="F22" s="24" t="s">
        <v>14</v>
      </c>
      <c r="G22" s="24"/>
      <c r="H22" s="24"/>
      <c r="I22" s="7"/>
      <c r="J22" s="7"/>
      <c r="K22" s="7"/>
      <c r="L22" s="7"/>
      <c r="M22" s="18">
        <f>M18-M20-M21</f>
        <v>918842.39999999991</v>
      </c>
    </row>
    <row r="23" spans="5:15" ht="15.5" x14ac:dyDescent="0.35">
      <c r="E23" s="7"/>
      <c r="F23" s="7"/>
      <c r="G23" s="7"/>
      <c r="H23" s="7"/>
      <c r="I23" s="7"/>
      <c r="J23" s="7"/>
      <c r="K23" s="7"/>
      <c r="L23" s="7"/>
      <c r="M23" s="7"/>
    </row>
    <row r="24" spans="5:15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5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5" x14ac:dyDescent="0.3">
      <c r="E26" s="27"/>
      <c r="F26" s="27"/>
      <c r="G26" s="27"/>
      <c r="H26" s="27"/>
      <c r="I26" s="27"/>
      <c r="J26" s="27"/>
      <c r="K26" s="27"/>
      <c r="L26" s="27"/>
      <c r="M26" s="27"/>
    </row>
    <row r="27" spans="5:15" x14ac:dyDescent="0.3">
      <c r="E27" s="26" t="s">
        <v>15</v>
      </c>
      <c r="F27" s="26"/>
      <c r="G27" s="26"/>
      <c r="H27" s="26"/>
      <c r="I27" s="26"/>
      <c r="J27" s="26"/>
      <c r="K27" s="26"/>
      <c r="L27" s="26"/>
      <c r="M27" s="26"/>
    </row>
    <row r="28" spans="5:15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5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5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5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5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</sheetData>
  <mergeCells count="30">
    <mergeCell ref="E31:M32"/>
    <mergeCell ref="F14:L14"/>
    <mergeCell ref="F15:L15"/>
    <mergeCell ref="F16:L16"/>
    <mergeCell ref="F17:L17"/>
    <mergeCell ref="F19:M19"/>
    <mergeCell ref="F20:H20"/>
    <mergeCell ref="F21:H21"/>
    <mergeCell ref="F22:H22"/>
    <mergeCell ref="E24:M26"/>
    <mergeCell ref="E27:M28"/>
    <mergeCell ref="E29:M30"/>
    <mergeCell ref="E9:M9"/>
    <mergeCell ref="F10:H10"/>
    <mergeCell ref="F11:H11"/>
    <mergeCell ref="F12:H12"/>
    <mergeCell ref="F13:H13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FAD7-A878-48F6-BA32-F6EEA7756556}">
  <sheetPr>
    <pageSetUpPr fitToPage="1"/>
  </sheetPr>
  <dimension ref="E2:O32"/>
  <sheetViews>
    <sheetView topLeftCell="B5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85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45756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86</v>
      </c>
      <c r="G11" s="32"/>
      <c r="H11" s="32"/>
      <c r="I11" s="5">
        <v>1</v>
      </c>
      <c r="J11" s="19">
        <v>1</v>
      </c>
      <c r="K11" s="17" t="s">
        <v>66</v>
      </c>
      <c r="L11" s="4">
        <v>75600</v>
      </c>
      <c r="M11" s="9">
        <f>J11*L11*I11</f>
        <v>75600</v>
      </c>
    </row>
    <row r="12" spans="5:15" ht="17.399999999999999" customHeight="1" x14ac:dyDescent="0.35">
      <c r="E12" s="16"/>
      <c r="F12" s="34" t="s">
        <v>18</v>
      </c>
      <c r="G12" s="34"/>
      <c r="H12" s="34"/>
      <c r="I12" s="34"/>
      <c r="J12" s="34"/>
      <c r="K12" s="34"/>
      <c r="L12" s="34"/>
      <c r="M12" s="10">
        <f>SUM(M11:M11)</f>
        <v>75600</v>
      </c>
    </row>
    <row r="13" spans="5:15" ht="17.399999999999999" customHeight="1" x14ac:dyDescent="0.35">
      <c r="E13" s="16"/>
      <c r="F13" s="35" t="s">
        <v>20</v>
      </c>
      <c r="G13" s="35"/>
      <c r="H13" s="35"/>
      <c r="I13" s="35"/>
      <c r="J13" s="35"/>
      <c r="K13" s="35"/>
      <c r="L13" s="35"/>
      <c r="M13" s="6">
        <f>M12*9%</f>
        <v>6804</v>
      </c>
      <c r="O13" s="20"/>
    </row>
    <row r="14" spans="5:15" ht="17.399999999999999" customHeight="1" x14ac:dyDescent="0.35">
      <c r="E14" s="16"/>
      <c r="F14" s="35" t="s">
        <v>21</v>
      </c>
      <c r="G14" s="35"/>
      <c r="H14" s="35"/>
      <c r="I14" s="35"/>
      <c r="J14" s="35"/>
      <c r="K14" s="35"/>
      <c r="L14" s="35"/>
      <c r="M14" s="6">
        <f>M12*9%</f>
        <v>6804</v>
      </c>
    </row>
    <row r="15" spans="5:15" ht="17.399999999999999" customHeight="1" x14ac:dyDescent="0.35">
      <c r="E15" s="16"/>
      <c r="F15" s="35" t="s">
        <v>23</v>
      </c>
      <c r="G15" s="35"/>
      <c r="H15" s="35"/>
      <c r="I15" s="35"/>
      <c r="J15" s="35"/>
      <c r="K15" s="35"/>
      <c r="L15" s="35"/>
      <c r="M15" s="10"/>
      <c r="O15" s="20"/>
    </row>
    <row r="16" spans="5:15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89208</v>
      </c>
      <c r="O16" s="21"/>
    </row>
    <row r="17" spans="5:13" ht="15.5" x14ac:dyDescent="0.35">
      <c r="E17" s="7"/>
      <c r="F17" s="36" t="s">
        <v>87</v>
      </c>
      <c r="G17" s="36"/>
      <c r="H17" s="36"/>
      <c r="I17" s="36"/>
      <c r="J17" s="36"/>
      <c r="K17" s="36"/>
      <c r="L17" s="36"/>
      <c r="M17" s="36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89208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7"/>
      <c r="F22" s="27"/>
      <c r="G22" s="27"/>
      <c r="H22" s="27"/>
      <c r="I22" s="27"/>
      <c r="J22" s="27"/>
      <c r="K22" s="27"/>
      <c r="L22" s="27"/>
      <c r="M22" s="27"/>
    </row>
    <row r="23" spans="5:13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3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3" x14ac:dyDescent="0.3">
      <c r="E25" s="26" t="s">
        <v>15</v>
      </c>
      <c r="F25" s="26"/>
      <c r="G25" s="26"/>
      <c r="H25" s="26"/>
      <c r="I25" s="26"/>
      <c r="J25" s="26"/>
      <c r="K25" s="26"/>
      <c r="L25" s="26"/>
      <c r="M25" s="26"/>
    </row>
    <row r="26" spans="5:13" x14ac:dyDescent="0.3">
      <c r="E26" s="26"/>
      <c r="F26" s="26"/>
      <c r="G26" s="26"/>
      <c r="H26" s="26"/>
      <c r="I26" s="26"/>
      <c r="J26" s="26"/>
      <c r="K26" s="26"/>
      <c r="L26" s="26"/>
      <c r="M26" s="26"/>
    </row>
    <row r="27" spans="5:13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3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F20:H20"/>
    <mergeCell ref="E22:M24"/>
    <mergeCell ref="E25:M26"/>
    <mergeCell ref="E27:M28"/>
    <mergeCell ref="E29:M30"/>
    <mergeCell ref="F19:H19"/>
    <mergeCell ref="E9:M9"/>
    <mergeCell ref="F10:H10"/>
    <mergeCell ref="F11:H11"/>
    <mergeCell ref="F12:L12"/>
    <mergeCell ref="F13:L13"/>
    <mergeCell ref="F14:L14"/>
    <mergeCell ref="F15:L15"/>
    <mergeCell ref="F17:M17"/>
    <mergeCell ref="F18:H18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1DD0-EE7F-4812-A2B4-E7DEDAA6336F}">
  <sheetPr>
    <pageSetUpPr fitToPage="1"/>
  </sheetPr>
  <dimension ref="E2:O34"/>
  <sheetViews>
    <sheetView topLeftCell="B9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88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45756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89</v>
      </c>
      <c r="G11" s="32"/>
      <c r="H11" s="32"/>
      <c r="I11" s="5">
        <v>1</v>
      </c>
      <c r="J11" s="19">
        <v>5</v>
      </c>
      <c r="K11" s="17" t="s">
        <v>66</v>
      </c>
      <c r="L11" s="4">
        <v>5670</v>
      </c>
      <c r="M11" s="9">
        <f>J11*L11*I11</f>
        <v>28350</v>
      </c>
    </row>
    <row r="12" spans="5:15" ht="33.9" customHeight="1" x14ac:dyDescent="0.3">
      <c r="E12" s="4">
        <v>2</v>
      </c>
      <c r="F12" s="32" t="s">
        <v>90</v>
      </c>
      <c r="G12" s="32"/>
      <c r="H12" s="32"/>
      <c r="I12" s="5">
        <v>1</v>
      </c>
      <c r="J12" s="19">
        <v>80</v>
      </c>
      <c r="K12" s="17" t="s">
        <v>66</v>
      </c>
      <c r="L12" s="4">
        <v>226</v>
      </c>
      <c r="M12" s="9">
        <f>J12*L12*I12</f>
        <v>18080</v>
      </c>
    </row>
    <row r="13" spans="5:15" ht="33.9" customHeight="1" x14ac:dyDescent="0.3">
      <c r="E13" s="4">
        <v>3</v>
      </c>
      <c r="F13" s="32" t="s">
        <v>91</v>
      </c>
      <c r="G13" s="32"/>
      <c r="H13" s="32"/>
      <c r="I13" s="5">
        <v>1</v>
      </c>
      <c r="J13" s="19">
        <v>59</v>
      </c>
      <c r="K13" s="17" t="s">
        <v>66</v>
      </c>
      <c r="L13" s="4">
        <v>264.60000000000002</v>
      </c>
      <c r="M13" s="9">
        <f>J13*L13*I13</f>
        <v>15611.400000000001</v>
      </c>
    </row>
    <row r="14" spans="5:15" ht="17.399999999999999" customHeight="1" x14ac:dyDescent="0.35">
      <c r="E14" s="16"/>
      <c r="F14" s="34" t="s">
        <v>18</v>
      </c>
      <c r="G14" s="34"/>
      <c r="H14" s="34"/>
      <c r="I14" s="34"/>
      <c r="J14" s="34"/>
      <c r="K14" s="34"/>
      <c r="L14" s="34"/>
      <c r="M14" s="10">
        <f>SUM(M11:M13)</f>
        <v>62041.4</v>
      </c>
    </row>
    <row r="15" spans="5:15" ht="17.399999999999999" customHeight="1" x14ac:dyDescent="0.35">
      <c r="E15" s="16"/>
      <c r="F15" s="35" t="s">
        <v>20</v>
      </c>
      <c r="G15" s="35"/>
      <c r="H15" s="35"/>
      <c r="I15" s="35"/>
      <c r="J15" s="35"/>
      <c r="K15" s="35"/>
      <c r="L15" s="35"/>
      <c r="M15" s="6">
        <f>M14*9%</f>
        <v>5583.7259999999997</v>
      </c>
      <c r="O15" s="20"/>
    </row>
    <row r="16" spans="5:15" ht="17.399999999999999" customHeight="1" x14ac:dyDescent="0.35">
      <c r="E16" s="16"/>
      <c r="F16" s="35" t="s">
        <v>21</v>
      </c>
      <c r="G16" s="35"/>
      <c r="H16" s="35"/>
      <c r="I16" s="35"/>
      <c r="J16" s="35"/>
      <c r="K16" s="35"/>
      <c r="L16" s="35"/>
      <c r="M16" s="6">
        <f>M14*9%</f>
        <v>5583.7259999999997</v>
      </c>
    </row>
    <row r="17" spans="5:15" ht="17.399999999999999" customHeight="1" x14ac:dyDescent="0.35">
      <c r="E17" s="16"/>
      <c r="F17" s="35" t="s">
        <v>23</v>
      </c>
      <c r="G17" s="35"/>
      <c r="H17" s="35"/>
      <c r="I17" s="35"/>
      <c r="J17" s="35"/>
      <c r="K17" s="35"/>
      <c r="L17" s="35"/>
      <c r="M17" s="10"/>
      <c r="O17" s="20"/>
    </row>
    <row r="18" spans="5:15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0">
        <f>M14-M17+M15+M16</f>
        <v>73208.851999999999</v>
      </c>
      <c r="O18" s="21"/>
    </row>
    <row r="19" spans="5:15" ht="15.5" x14ac:dyDescent="0.35">
      <c r="E19" s="7"/>
      <c r="F19" s="36" t="s">
        <v>92</v>
      </c>
      <c r="G19" s="36"/>
      <c r="H19" s="36"/>
      <c r="I19" s="36"/>
      <c r="J19" s="36"/>
      <c r="K19" s="36"/>
      <c r="L19" s="36"/>
      <c r="M19" s="36"/>
    </row>
    <row r="20" spans="5:15" ht="15.5" x14ac:dyDescent="0.35">
      <c r="E20" s="16"/>
      <c r="F20" s="24" t="s">
        <v>13</v>
      </c>
      <c r="G20" s="24"/>
      <c r="H20" s="24"/>
      <c r="I20" s="7"/>
      <c r="J20" s="7"/>
      <c r="K20" s="7"/>
      <c r="L20" s="7"/>
      <c r="M20" s="11"/>
    </row>
    <row r="21" spans="5:15" ht="15.5" x14ac:dyDescent="0.35">
      <c r="E21" s="16"/>
      <c r="F21" s="24" t="s">
        <v>22</v>
      </c>
      <c r="G21" s="24"/>
      <c r="H21" s="24"/>
      <c r="I21" s="7"/>
      <c r="J21" s="7"/>
      <c r="K21" s="7"/>
      <c r="L21" s="7"/>
      <c r="M21" s="11"/>
    </row>
    <row r="22" spans="5:15" ht="15.5" x14ac:dyDescent="0.35">
      <c r="E22" s="16"/>
      <c r="F22" s="24" t="s">
        <v>14</v>
      </c>
      <c r="G22" s="24"/>
      <c r="H22" s="24"/>
      <c r="I22" s="7"/>
      <c r="J22" s="7"/>
      <c r="K22" s="7"/>
      <c r="L22" s="7"/>
      <c r="M22" s="18">
        <f>M18-M20-M21</f>
        <v>73208.851999999999</v>
      </c>
    </row>
    <row r="23" spans="5:15" ht="15.5" x14ac:dyDescent="0.35">
      <c r="E23" s="7"/>
      <c r="F23" s="7"/>
      <c r="G23" s="7"/>
      <c r="H23" s="7"/>
      <c r="I23" s="7"/>
      <c r="J23" s="7"/>
      <c r="K23" s="7"/>
      <c r="L23" s="7"/>
      <c r="M23" s="7"/>
    </row>
    <row r="24" spans="5:15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5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5" x14ac:dyDescent="0.3">
      <c r="E26" s="27"/>
      <c r="F26" s="27"/>
      <c r="G26" s="27"/>
      <c r="H26" s="27"/>
      <c r="I26" s="27"/>
      <c r="J26" s="27"/>
      <c r="K26" s="27"/>
      <c r="L26" s="27"/>
      <c r="M26" s="27"/>
    </row>
    <row r="27" spans="5:15" x14ac:dyDescent="0.3">
      <c r="E27" s="26" t="s">
        <v>15</v>
      </c>
      <c r="F27" s="26"/>
      <c r="G27" s="26"/>
      <c r="H27" s="26"/>
      <c r="I27" s="26"/>
      <c r="J27" s="26"/>
      <c r="K27" s="26"/>
      <c r="L27" s="26"/>
      <c r="M27" s="26"/>
    </row>
    <row r="28" spans="5:15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5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5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5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5" x14ac:dyDescent="0.3">
      <c r="E32" s="26"/>
      <c r="F32" s="26"/>
      <c r="G32" s="26"/>
      <c r="H32" s="26"/>
      <c r="I32" s="26"/>
      <c r="J32" s="26"/>
      <c r="K32" s="26"/>
      <c r="L32" s="26"/>
      <c r="M32" s="26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</sheetData>
  <mergeCells count="30">
    <mergeCell ref="E27:M28"/>
    <mergeCell ref="E29:M30"/>
    <mergeCell ref="E31:M32"/>
    <mergeCell ref="F11:H11"/>
    <mergeCell ref="F12:H12"/>
    <mergeCell ref="F17:L17"/>
    <mergeCell ref="F19:M19"/>
    <mergeCell ref="F20:H20"/>
    <mergeCell ref="F21:H21"/>
    <mergeCell ref="F22:H22"/>
    <mergeCell ref="E24:M26"/>
    <mergeCell ref="F16:L16"/>
    <mergeCell ref="E9:M9"/>
    <mergeCell ref="F10:H10"/>
    <mergeCell ref="F13:H13"/>
    <mergeCell ref="F14:L14"/>
    <mergeCell ref="F15:L15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57A0-0C61-4C64-AC5E-BAC1989F61F6}">
  <sheetPr>
    <pageSetUpPr fitToPage="1"/>
  </sheetPr>
  <dimension ref="E2:O33"/>
  <sheetViews>
    <sheetView topLeftCell="B9" workbookViewId="0">
      <selection activeCell="E2" sqref="E2:M31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93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45765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94</v>
      </c>
      <c r="G11" s="32"/>
      <c r="H11" s="32"/>
      <c r="I11" s="5">
        <v>1</v>
      </c>
      <c r="J11" s="19">
        <v>1</v>
      </c>
      <c r="K11" s="17" t="s">
        <v>66</v>
      </c>
      <c r="L11" s="4">
        <v>1940.4</v>
      </c>
      <c r="M11" s="9">
        <f>J11*L11*I11</f>
        <v>1940.4</v>
      </c>
    </row>
    <row r="12" spans="5:15" ht="33.9" customHeight="1" x14ac:dyDescent="0.3">
      <c r="E12" s="4">
        <v>2</v>
      </c>
      <c r="F12" s="32" t="s">
        <v>71</v>
      </c>
      <c r="G12" s="32"/>
      <c r="H12" s="32"/>
      <c r="I12" s="5">
        <v>1</v>
      </c>
      <c r="J12" s="19">
        <v>6</v>
      </c>
      <c r="K12" s="17" t="s">
        <v>66</v>
      </c>
      <c r="L12" s="4">
        <v>1656.9</v>
      </c>
      <c r="M12" s="9">
        <f>J12*L12*I12</f>
        <v>9941.4000000000015</v>
      </c>
    </row>
    <row r="13" spans="5:15" ht="17.399999999999999" customHeight="1" x14ac:dyDescent="0.35">
      <c r="E13" s="16"/>
      <c r="F13" s="34" t="s">
        <v>18</v>
      </c>
      <c r="G13" s="34"/>
      <c r="H13" s="34"/>
      <c r="I13" s="34"/>
      <c r="J13" s="34"/>
      <c r="K13" s="34"/>
      <c r="L13" s="34"/>
      <c r="M13" s="10">
        <f>SUM(M11:M12)</f>
        <v>11881.800000000001</v>
      </c>
    </row>
    <row r="14" spans="5:15" ht="17.399999999999999" customHeight="1" x14ac:dyDescent="0.35">
      <c r="E14" s="16"/>
      <c r="F14" s="35" t="s">
        <v>20</v>
      </c>
      <c r="G14" s="35"/>
      <c r="H14" s="35"/>
      <c r="I14" s="35"/>
      <c r="J14" s="35"/>
      <c r="K14" s="35"/>
      <c r="L14" s="35"/>
      <c r="M14" s="6">
        <f>M13*9%</f>
        <v>1069.3620000000001</v>
      </c>
      <c r="O14" s="20"/>
    </row>
    <row r="15" spans="5:15" ht="17.399999999999999" customHeight="1" x14ac:dyDescent="0.35">
      <c r="E15" s="16"/>
      <c r="F15" s="35" t="s">
        <v>21</v>
      </c>
      <c r="G15" s="35"/>
      <c r="H15" s="35"/>
      <c r="I15" s="35"/>
      <c r="J15" s="35"/>
      <c r="K15" s="35"/>
      <c r="L15" s="35"/>
      <c r="M15" s="6">
        <f>M13*9%</f>
        <v>1069.3620000000001</v>
      </c>
    </row>
    <row r="16" spans="5:15" ht="17.399999999999999" customHeight="1" x14ac:dyDescent="0.35">
      <c r="E16" s="16"/>
      <c r="F16" s="35" t="s">
        <v>23</v>
      </c>
      <c r="G16" s="35"/>
      <c r="H16" s="35"/>
      <c r="I16" s="35"/>
      <c r="J16" s="35"/>
      <c r="K16" s="35"/>
      <c r="L16" s="35"/>
      <c r="M16" s="10"/>
      <c r="O16" s="20"/>
    </row>
    <row r="17" spans="5:15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M13-M16+M14+M15</f>
        <v>14020.524000000001</v>
      </c>
      <c r="O17" s="21"/>
    </row>
    <row r="18" spans="5:15" ht="15.5" x14ac:dyDescent="0.35">
      <c r="E18" s="7"/>
      <c r="F18" s="36" t="s">
        <v>95</v>
      </c>
      <c r="G18" s="36"/>
      <c r="H18" s="36"/>
      <c r="I18" s="36"/>
      <c r="J18" s="36"/>
      <c r="K18" s="36"/>
      <c r="L18" s="36"/>
      <c r="M18" s="36"/>
    </row>
    <row r="19" spans="5:15" ht="15.5" x14ac:dyDescent="0.35">
      <c r="E19" s="16"/>
      <c r="F19" s="24" t="s">
        <v>13</v>
      </c>
      <c r="G19" s="24"/>
      <c r="H19" s="24"/>
      <c r="I19" s="7"/>
      <c r="J19" s="7"/>
      <c r="K19" s="7"/>
      <c r="L19" s="7"/>
      <c r="M19" s="11"/>
    </row>
    <row r="20" spans="5:15" ht="15.5" x14ac:dyDescent="0.35">
      <c r="E20" s="16"/>
      <c r="F20" s="24" t="s">
        <v>22</v>
      </c>
      <c r="G20" s="24"/>
      <c r="H20" s="24"/>
      <c r="I20" s="7"/>
      <c r="J20" s="7"/>
      <c r="K20" s="7"/>
      <c r="L20" s="7"/>
      <c r="M20" s="11"/>
    </row>
    <row r="21" spans="5:15" ht="15.5" x14ac:dyDescent="0.35">
      <c r="E21" s="16"/>
      <c r="F21" s="24" t="s">
        <v>14</v>
      </c>
      <c r="G21" s="24"/>
      <c r="H21" s="24"/>
      <c r="I21" s="7"/>
      <c r="J21" s="7"/>
      <c r="K21" s="7"/>
      <c r="L21" s="7"/>
      <c r="M21" s="18">
        <f>M17-M19-M20</f>
        <v>14020.524000000001</v>
      </c>
    </row>
    <row r="22" spans="5:15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5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5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5" x14ac:dyDescent="0.3">
      <c r="E25" s="27"/>
      <c r="F25" s="27"/>
      <c r="G25" s="27"/>
      <c r="H25" s="27"/>
      <c r="I25" s="27"/>
      <c r="J25" s="27"/>
      <c r="K25" s="27"/>
      <c r="L25" s="27"/>
      <c r="M25" s="27"/>
    </row>
    <row r="26" spans="5:15" x14ac:dyDescent="0.3">
      <c r="E26" s="26" t="s">
        <v>15</v>
      </c>
      <c r="F26" s="26"/>
      <c r="G26" s="26"/>
      <c r="H26" s="26"/>
      <c r="I26" s="26"/>
      <c r="J26" s="26"/>
      <c r="K26" s="26"/>
      <c r="L26" s="26"/>
      <c r="M26" s="26"/>
    </row>
    <row r="27" spans="5:15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5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5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5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5" x14ac:dyDescent="0.3">
      <c r="E31" s="26"/>
      <c r="F31" s="26"/>
      <c r="G31" s="26"/>
      <c r="H31" s="26"/>
      <c r="I31" s="26"/>
      <c r="J31" s="26"/>
      <c r="K31" s="26"/>
      <c r="L31" s="26"/>
      <c r="M31" s="26"/>
    </row>
    <row r="32" spans="5:15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F21:H21"/>
    <mergeCell ref="E23:M25"/>
    <mergeCell ref="E26:M27"/>
    <mergeCell ref="E28:M29"/>
    <mergeCell ref="E30:M31"/>
    <mergeCell ref="F20:H20"/>
    <mergeCell ref="E9:M9"/>
    <mergeCell ref="F10:H10"/>
    <mergeCell ref="F11:H11"/>
    <mergeCell ref="F12:H12"/>
    <mergeCell ref="F13:L13"/>
    <mergeCell ref="F14:L14"/>
    <mergeCell ref="F15:L15"/>
    <mergeCell ref="F16:L16"/>
    <mergeCell ref="F18:M18"/>
    <mergeCell ref="F19:H19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CA33-6712-40AE-88EB-E2C77633C0B7}">
  <sheetPr>
    <pageSetUpPr fitToPage="1"/>
  </sheetPr>
  <dimension ref="E2:O39"/>
  <sheetViews>
    <sheetView topLeftCell="B14" workbookViewId="0">
      <selection activeCell="E19" sqref="E19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96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45765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97</v>
      </c>
      <c r="G11" s="32"/>
      <c r="H11" s="32"/>
      <c r="I11" s="5">
        <v>1</v>
      </c>
      <c r="J11" s="19">
        <v>750</v>
      </c>
      <c r="K11" s="17" t="s">
        <v>98</v>
      </c>
      <c r="L11" s="4">
        <v>75.599999999999994</v>
      </c>
      <c r="M11" s="9">
        <f t="shared" ref="M11:M18" si="0">J11*L11*I11</f>
        <v>56699.999999999993</v>
      </c>
    </row>
    <row r="12" spans="5:13" ht="33.9" customHeight="1" x14ac:dyDescent="0.3">
      <c r="E12" s="4">
        <v>2</v>
      </c>
      <c r="F12" s="32" t="s">
        <v>99</v>
      </c>
      <c r="G12" s="32"/>
      <c r="H12" s="32"/>
      <c r="I12" s="5">
        <v>1</v>
      </c>
      <c r="J12" s="19">
        <v>435</v>
      </c>
      <c r="K12" s="17" t="s">
        <v>66</v>
      </c>
      <c r="L12" s="4">
        <v>189</v>
      </c>
      <c r="M12" s="9">
        <f t="shared" si="0"/>
        <v>82215</v>
      </c>
    </row>
    <row r="13" spans="5:13" ht="33.9" customHeight="1" x14ac:dyDescent="0.3">
      <c r="E13" s="4">
        <v>3</v>
      </c>
      <c r="F13" s="32" t="s">
        <v>100</v>
      </c>
      <c r="G13" s="32"/>
      <c r="H13" s="32"/>
      <c r="I13" s="5">
        <v>1</v>
      </c>
      <c r="J13" s="19">
        <v>5</v>
      </c>
      <c r="K13" s="17" t="s">
        <v>66</v>
      </c>
      <c r="L13" s="4">
        <v>945</v>
      </c>
      <c r="M13" s="9">
        <f t="shared" si="0"/>
        <v>4725</v>
      </c>
    </row>
    <row r="14" spans="5:13" ht="33.9" customHeight="1" x14ac:dyDescent="0.3">
      <c r="E14" s="4">
        <v>4</v>
      </c>
      <c r="F14" s="32" t="s">
        <v>101</v>
      </c>
      <c r="G14" s="32"/>
      <c r="H14" s="32"/>
      <c r="I14" s="5">
        <v>1</v>
      </c>
      <c r="J14" s="19">
        <v>4</v>
      </c>
      <c r="K14" s="17" t="s">
        <v>66</v>
      </c>
      <c r="L14" s="4">
        <v>1260</v>
      </c>
      <c r="M14" s="9">
        <f t="shared" si="0"/>
        <v>5040</v>
      </c>
    </row>
    <row r="15" spans="5:13" ht="33.9" customHeight="1" x14ac:dyDescent="0.3">
      <c r="E15" s="4">
        <v>5</v>
      </c>
      <c r="F15" s="32" t="s">
        <v>75</v>
      </c>
      <c r="G15" s="32"/>
      <c r="H15" s="32"/>
      <c r="I15" s="5">
        <v>1</v>
      </c>
      <c r="J15" s="19">
        <v>10</v>
      </c>
      <c r="K15" s="17" t="s">
        <v>66</v>
      </c>
      <c r="L15" s="4">
        <v>776.65</v>
      </c>
      <c r="M15" s="9">
        <f t="shared" si="0"/>
        <v>7766.5</v>
      </c>
    </row>
    <row r="16" spans="5:13" ht="33.9" customHeight="1" x14ac:dyDescent="0.3">
      <c r="E16" s="4">
        <v>6</v>
      </c>
      <c r="F16" s="32" t="s">
        <v>102</v>
      </c>
      <c r="G16" s="32"/>
      <c r="H16" s="32"/>
      <c r="I16" s="5">
        <v>1</v>
      </c>
      <c r="J16" s="19">
        <v>5</v>
      </c>
      <c r="K16" s="17" t="s">
        <v>66</v>
      </c>
      <c r="L16" s="4">
        <v>936.92</v>
      </c>
      <c r="M16" s="9">
        <f t="shared" si="0"/>
        <v>4684.5999999999995</v>
      </c>
    </row>
    <row r="17" spans="5:15" ht="33.9" customHeight="1" x14ac:dyDescent="0.3">
      <c r="E17" s="4">
        <v>7</v>
      </c>
      <c r="F17" s="32" t="s">
        <v>103</v>
      </c>
      <c r="G17" s="32"/>
      <c r="H17" s="32"/>
      <c r="I17" s="5">
        <v>1</v>
      </c>
      <c r="J17" s="19">
        <v>9</v>
      </c>
      <c r="K17" s="17" t="s">
        <v>66</v>
      </c>
      <c r="L17" s="4">
        <v>2016</v>
      </c>
      <c r="M17" s="9">
        <f t="shared" si="0"/>
        <v>18144</v>
      </c>
    </row>
    <row r="18" spans="5:15" ht="33.9" customHeight="1" x14ac:dyDescent="0.3">
      <c r="E18" s="4">
        <v>8</v>
      </c>
      <c r="F18" s="32" t="s">
        <v>104</v>
      </c>
      <c r="G18" s="32"/>
      <c r="H18" s="32"/>
      <c r="I18" s="5">
        <v>1</v>
      </c>
      <c r="J18" s="19">
        <v>37</v>
      </c>
      <c r="K18" s="17" t="s">
        <v>66</v>
      </c>
      <c r="L18" s="4">
        <v>3591</v>
      </c>
      <c r="M18" s="9">
        <f t="shared" si="0"/>
        <v>132867</v>
      </c>
    </row>
    <row r="19" spans="5:15" ht="17.399999999999999" customHeight="1" x14ac:dyDescent="0.35">
      <c r="E19" s="16"/>
      <c r="F19" s="34" t="s">
        <v>18</v>
      </c>
      <c r="G19" s="34"/>
      <c r="H19" s="34"/>
      <c r="I19" s="34"/>
      <c r="J19" s="34"/>
      <c r="K19" s="34"/>
      <c r="L19" s="34"/>
      <c r="M19" s="10">
        <f>SUM(M11:M18)</f>
        <v>312142.09999999998</v>
      </c>
    </row>
    <row r="20" spans="5:15" ht="17.399999999999999" customHeight="1" x14ac:dyDescent="0.35">
      <c r="E20" s="16"/>
      <c r="F20" s="35" t="s">
        <v>20</v>
      </c>
      <c r="G20" s="35"/>
      <c r="H20" s="35"/>
      <c r="I20" s="35"/>
      <c r="J20" s="35"/>
      <c r="K20" s="35"/>
      <c r="L20" s="35"/>
      <c r="M20" s="6">
        <f>M19*9%</f>
        <v>28092.788999999997</v>
      </c>
      <c r="O20" s="20"/>
    </row>
    <row r="21" spans="5:15" ht="17.399999999999999" customHeight="1" x14ac:dyDescent="0.35">
      <c r="E21" s="16"/>
      <c r="F21" s="35" t="s">
        <v>21</v>
      </c>
      <c r="G21" s="35"/>
      <c r="H21" s="35"/>
      <c r="I21" s="35"/>
      <c r="J21" s="35"/>
      <c r="K21" s="35"/>
      <c r="L21" s="35"/>
      <c r="M21" s="6">
        <f>M19*9%</f>
        <v>28092.788999999997</v>
      </c>
    </row>
    <row r="22" spans="5:15" ht="17.399999999999999" customHeight="1" x14ac:dyDescent="0.35">
      <c r="E22" s="16"/>
      <c r="F22" s="35" t="s">
        <v>23</v>
      </c>
      <c r="G22" s="35"/>
      <c r="H22" s="35"/>
      <c r="I22" s="35"/>
      <c r="J22" s="35"/>
      <c r="K22" s="35"/>
      <c r="L22" s="35"/>
      <c r="M22" s="10"/>
      <c r="O22" s="20"/>
    </row>
    <row r="23" spans="5:15" ht="17.399999999999999" customHeight="1" x14ac:dyDescent="0.35">
      <c r="E23" s="16"/>
      <c r="F23" s="13"/>
      <c r="G23" s="13"/>
      <c r="H23" s="13"/>
      <c r="I23" s="13"/>
      <c r="J23" s="13"/>
      <c r="K23" s="13"/>
      <c r="L23" s="13"/>
      <c r="M23" s="10">
        <f>M19-M22+M20+M21</f>
        <v>368327.67799999996</v>
      </c>
      <c r="O23" s="21"/>
    </row>
    <row r="24" spans="5:15" ht="15.5" x14ac:dyDescent="0.35">
      <c r="E24" s="7"/>
      <c r="F24" s="36" t="s">
        <v>105</v>
      </c>
      <c r="G24" s="36"/>
      <c r="H24" s="36"/>
      <c r="I24" s="36"/>
      <c r="J24" s="36"/>
      <c r="K24" s="36"/>
      <c r="L24" s="36"/>
      <c r="M24" s="36"/>
    </row>
    <row r="25" spans="5:15" ht="15.5" x14ac:dyDescent="0.35">
      <c r="E25" s="16"/>
      <c r="F25" s="24" t="s">
        <v>13</v>
      </c>
      <c r="G25" s="24"/>
      <c r="H25" s="24"/>
      <c r="I25" s="7"/>
      <c r="J25" s="7"/>
      <c r="K25" s="7"/>
      <c r="L25" s="7"/>
      <c r="M25" s="11"/>
    </row>
    <row r="26" spans="5:15" ht="15.5" x14ac:dyDescent="0.35">
      <c r="E26" s="16"/>
      <c r="F26" s="24" t="s">
        <v>22</v>
      </c>
      <c r="G26" s="24"/>
      <c r="H26" s="24"/>
      <c r="I26" s="7"/>
      <c r="J26" s="7"/>
      <c r="K26" s="7"/>
      <c r="L26" s="7"/>
      <c r="M26" s="11"/>
    </row>
    <row r="27" spans="5:15" ht="15.5" x14ac:dyDescent="0.35">
      <c r="E27" s="16"/>
      <c r="F27" s="24" t="s">
        <v>14</v>
      </c>
      <c r="G27" s="24"/>
      <c r="H27" s="24"/>
      <c r="I27" s="7"/>
      <c r="J27" s="7"/>
      <c r="K27" s="7"/>
      <c r="L27" s="7"/>
      <c r="M27" s="18">
        <f>M23-M25-M26</f>
        <v>368327.67799999996</v>
      </c>
    </row>
    <row r="28" spans="5:15" ht="15.5" x14ac:dyDescent="0.35">
      <c r="E28" s="7"/>
      <c r="F28" s="7"/>
      <c r="G28" s="7"/>
      <c r="H28" s="7"/>
      <c r="I28" s="7"/>
      <c r="J28" s="7"/>
      <c r="K28" s="7"/>
      <c r="L28" s="7"/>
      <c r="M28" s="7"/>
    </row>
    <row r="29" spans="5:15" x14ac:dyDescent="0.3">
      <c r="E29" s="27"/>
      <c r="F29" s="27"/>
      <c r="G29" s="27"/>
      <c r="H29" s="27"/>
      <c r="I29" s="27"/>
      <c r="J29" s="27"/>
      <c r="K29" s="27"/>
      <c r="L29" s="27"/>
      <c r="M29" s="27"/>
    </row>
    <row r="30" spans="5:15" x14ac:dyDescent="0.3">
      <c r="E30" s="27"/>
      <c r="F30" s="27"/>
      <c r="G30" s="27"/>
      <c r="H30" s="27"/>
      <c r="I30" s="27"/>
      <c r="J30" s="27"/>
      <c r="K30" s="27"/>
      <c r="L30" s="27"/>
      <c r="M30" s="27"/>
    </row>
    <row r="31" spans="5:15" x14ac:dyDescent="0.3">
      <c r="E31" s="27"/>
      <c r="F31" s="27"/>
      <c r="G31" s="27"/>
      <c r="H31" s="27"/>
      <c r="I31" s="27"/>
      <c r="J31" s="27"/>
      <c r="K31" s="27"/>
      <c r="L31" s="27"/>
      <c r="M31" s="27"/>
    </row>
    <row r="32" spans="5:15" x14ac:dyDescent="0.3">
      <c r="E32" s="26" t="s">
        <v>15</v>
      </c>
      <c r="F32" s="26"/>
      <c r="G32" s="26"/>
      <c r="H32" s="26"/>
      <c r="I32" s="26"/>
      <c r="J32" s="26"/>
      <c r="K32" s="26"/>
      <c r="L32" s="26"/>
      <c r="M32" s="26"/>
    </row>
    <row r="33" spans="5:13" x14ac:dyDescent="0.3">
      <c r="E33" s="26"/>
      <c r="F33" s="26"/>
      <c r="G33" s="26"/>
      <c r="H33" s="26"/>
      <c r="I33" s="26"/>
      <c r="J33" s="26"/>
      <c r="K33" s="26"/>
      <c r="L33" s="26"/>
      <c r="M33" s="26"/>
    </row>
    <row r="34" spans="5:13" x14ac:dyDescent="0.3">
      <c r="E34" s="26"/>
      <c r="F34" s="26"/>
      <c r="G34" s="26"/>
      <c r="H34" s="26"/>
      <c r="I34" s="26"/>
      <c r="J34" s="26"/>
      <c r="K34" s="26"/>
      <c r="L34" s="26"/>
      <c r="M34" s="26"/>
    </row>
    <row r="35" spans="5:13" x14ac:dyDescent="0.3">
      <c r="E35" s="26"/>
      <c r="F35" s="26"/>
      <c r="G35" s="26"/>
      <c r="H35" s="26"/>
      <c r="I35" s="26"/>
      <c r="J35" s="26"/>
      <c r="K35" s="26"/>
      <c r="L35" s="26"/>
      <c r="M35" s="26"/>
    </row>
    <row r="36" spans="5:13" x14ac:dyDescent="0.3">
      <c r="E36" s="26"/>
      <c r="F36" s="26"/>
      <c r="G36" s="26"/>
      <c r="H36" s="26"/>
      <c r="I36" s="26"/>
      <c r="J36" s="26"/>
      <c r="K36" s="26"/>
      <c r="L36" s="26"/>
      <c r="M36" s="26"/>
    </row>
    <row r="37" spans="5:13" x14ac:dyDescent="0.3">
      <c r="E37" s="26"/>
      <c r="F37" s="26"/>
      <c r="G37" s="26"/>
      <c r="H37" s="26"/>
      <c r="I37" s="26"/>
      <c r="J37" s="26"/>
      <c r="K37" s="26"/>
      <c r="L37" s="26"/>
      <c r="M37" s="26"/>
    </row>
    <row r="38" spans="5:13" ht="15.5" x14ac:dyDescent="0.35">
      <c r="E38" s="7"/>
      <c r="F38" s="7"/>
      <c r="G38" s="7"/>
      <c r="H38" s="7"/>
      <c r="I38" s="7"/>
      <c r="J38" s="7"/>
      <c r="K38" s="7"/>
      <c r="L38" s="7"/>
      <c r="M38" s="7"/>
    </row>
    <row r="39" spans="5:13" ht="15.5" x14ac:dyDescent="0.35">
      <c r="E39" s="7"/>
      <c r="F39" s="7"/>
      <c r="G39" s="7"/>
      <c r="H39" s="7"/>
      <c r="I39" s="7"/>
      <c r="J39" s="7"/>
      <c r="K39" s="7"/>
      <c r="L39" s="7"/>
      <c r="M39" s="7"/>
    </row>
  </sheetData>
  <mergeCells count="35">
    <mergeCell ref="E29:M31"/>
    <mergeCell ref="E32:M33"/>
    <mergeCell ref="E34:M35"/>
    <mergeCell ref="E36:M37"/>
    <mergeCell ref="F15:H15"/>
    <mergeCell ref="F16:H16"/>
    <mergeCell ref="F21:L21"/>
    <mergeCell ref="F22:L22"/>
    <mergeCell ref="F24:M24"/>
    <mergeCell ref="F25:H25"/>
    <mergeCell ref="F26:H26"/>
    <mergeCell ref="F27:H27"/>
    <mergeCell ref="F20:L20"/>
    <mergeCell ref="E9:M9"/>
    <mergeCell ref="F10:H10"/>
    <mergeCell ref="F17:H17"/>
    <mergeCell ref="F18:H18"/>
    <mergeCell ref="F19:L19"/>
    <mergeCell ref="F11:H11"/>
    <mergeCell ref="F12:H12"/>
    <mergeCell ref="F13:H13"/>
    <mergeCell ref="F14:H14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9A3-FD50-4BC7-845D-70EAF970D64D}">
  <sheetPr>
    <pageSetUpPr fitToPage="1"/>
  </sheetPr>
  <dimension ref="E2:R48"/>
  <sheetViews>
    <sheetView topLeftCell="G22" workbookViewId="0">
      <selection activeCell="O25" sqref="O25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7" width="8.6328125" style="1"/>
    <col min="18" max="18" width="10" style="1" bestFit="1" customWidth="1"/>
    <col min="19" max="16384" width="8.6328125" style="1"/>
  </cols>
  <sheetData>
    <row r="2" spans="5:13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106</v>
      </c>
    </row>
    <row r="5" spans="5:13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3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45773</v>
      </c>
      <c r="M6" s="30"/>
    </row>
    <row r="7" spans="5:13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45765</v>
      </c>
      <c r="M7" s="30"/>
    </row>
    <row r="8" spans="5:13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3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3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32" t="s">
        <v>107</v>
      </c>
      <c r="G11" s="32"/>
      <c r="H11" s="32"/>
      <c r="I11" s="5">
        <v>1</v>
      </c>
      <c r="J11" s="19">
        <v>1</v>
      </c>
      <c r="K11" s="17" t="s">
        <v>66</v>
      </c>
      <c r="L11" s="4">
        <v>113400</v>
      </c>
      <c r="M11" s="9">
        <f t="shared" ref="M11:M27" si="0">J11*L11*I11</f>
        <v>113400</v>
      </c>
    </row>
    <row r="12" spans="5:13" ht="33.9" customHeight="1" x14ac:dyDescent="0.3">
      <c r="E12" s="4">
        <v>2</v>
      </c>
      <c r="F12" s="32" t="s">
        <v>108</v>
      </c>
      <c r="G12" s="32"/>
      <c r="H12" s="32"/>
      <c r="I12" s="5">
        <v>1</v>
      </c>
      <c r="J12" s="19">
        <v>1</v>
      </c>
      <c r="K12" s="17" t="s">
        <v>66</v>
      </c>
      <c r="L12" s="4">
        <v>5670</v>
      </c>
      <c r="M12" s="9">
        <f t="shared" si="0"/>
        <v>5670</v>
      </c>
    </row>
    <row r="13" spans="5:13" ht="33.9" customHeight="1" x14ac:dyDescent="0.3">
      <c r="E13" s="4">
        <v>3</v>
      </c>
      <c r="F13" s="32" t="s">
        <v>109</v>
      </c>
      <c r="G13" s="32"/>
      <c r="H13" s="32"/>
      <c r="I13" s="5">
        <v>1</v>
      </c>
      <c r="J13" s="19">
        <v>10</v>
      </c>
      <c r="K13" s="17" t="s">
        <v>66</v>
      </c>
      <c r="L13" s="4">
        <v>1940.4</v>
      </c>
      <c r="M13" s="9">
        <f t="shared" si="0"/>
        <v>19404</v>
      </c>
    </row>
    <row r="14" spans="5:13" ht="33.9" customHeight="1" x14ac:dyDescent="0.3">
      <c r="E14" s="4">
        <v>4</v>
      </c>
      <c r="F14" s="32" t="s">
        <v>110</v>
      </c>
      <c r="G14" s="32"/>
      <c r="H14" s="32"/>
      <c r="I14" s="5">
        <v>1</v>
      </c>
      <c r="J14" s="19">
        <v>5</v>
      </c>
      <c r="K14" s="17" t="s">
        <v>66</v>
      </c>
      <c r="L14" s="4">
        <v>3137.4</v>
      </c>
      <c r="M14" s="9">
        <f t="shared" si="0"/>
        <v>15687</v>
      </c>
    </row>
    <row r="15" spans="5:13" ht="33.9" customHeight="1" x14ac:dyDescent="0.3">
      <c r="E15" s="4">
        <v>5</v>
      </c>
      <c r="F15" s="32" t="s">
        <v>111</v>
      </c>
      <c r="G15" s="32"/>
      <c r="H15" s="32"/>
      <c r="I15" s="5">
        <v>1</v>
      </c>
      <c r="J15" s="19">
        <v>80</v>
      </c>
      <c r="K15" s="17" t="s">
        <v>66</v>
      </c>
      <c r="L15" s="4">
        <v>1134</v>
      </c>
      <c r="M15" s="9">
        <f t="shared" si="0"/>
        <v>90720</v>
      </c>
    </row>
    <row r="16" spans="5:13" ht="33.9" customHeight="1" x14ac:dyDescent="0.3">
      <c r="E16" s="4">
        <v>6</v>
      </c>
      <c r="F16" s="32" t="s">
        <v>112</v>
      </c>
      <c r="G16" s="32"/>
      <c r="H16" s="32"/>
      <c r="I16" s="5">
        <v>1</v>
      </c>
      <c r="J16" s="19">
        <v>80</v>
      </c>
      <c r="K16" s="17" t="s">
        <v>66</v>
      </c>
      <c r="L16" s="4">
        <v>3024</v>
      </c>
      <c r="M16" s="9">
        <f t="shared" si="0"/>
        <v>241920</v>
      </c>
    </row>
    <row r="17" spans="5:18" ht="33.9" customHeight="1" x14ac:dyDescent="0.3">
      <c r="E17" s="4">
        <v>7</v>
      </c>
      <c r="F17" s="32" t="s">
        <v>113</v>
      </c>
      <c r="G17" s="32"/>
      <c r="H17" s="32"/>
      <c r="I17" s="5">
        <v>1</v>
      </c>
      <c r="J17" s="19">
        <v>89</v>
      </c>
      <c r="K17" s="17" t="s">
        <v>66</v>
      </c>
      <c r="L17" s="4">
        <v>1247</v>
      </c>
      <c r="M17" s="9">
        <f t="shared" si="0"/>
        <v>110983</v>
      </c>
    </row>
    <row r="18" spans="5:18" ht="33.9" customHeight="1" x14ac:dyDescent="0.3">
      <c r="E18" s="4">
        <v>8</v>
      </c>
      <c r="F18" s="32" t="s">
        <v>72</v>
      </c>
      <c r="G18" s="32"/>
      <c r="H18" s="32"/>
      <c r="I18" s="5">
        <v>1</v>
      </c>
      <c r="J18" s="19">
        <v>2</v>
      </c>
      <c r="K18" s="17" t="s">
        <v>66</v>
      </c>
      <c r="L18" s="4">
        <v>1477.98</v>
      </c>
      <c r="M18" s="9">
        <f t="shared" si="0"/>
        <v>2955.96</v>
      </c>
    </row>
    <row r="19" spans="5:18" ht="33.9" customHeight="1" x14ac:dyDescent="0.3">
      <c r="E19" s="4">
        <v>9</v>
      </c>
      <c r="F19" s="32" t="s">
        <v>114</v>
      </c>
      <c r="G19" s="32"/>
      <c r="H19" s="32"/>
      <c r="I19" s="5">
        <v>1</v>
      </c>
      <c r="J19" s="19">
        <v>4</v>
      </c>
      <c r="K19" s="17" t="s">
        <v>66</v>
      </c>
      <c r="L19" s="4">
        <v>1317.96</v>
      </c>
      <c r="M19" s="9">
        <f t="shared" si="0"/>
        <v>5271.84</v>
      </c>
    </row>
    <row r="20" spans="5:18" ht="33.9" customHeight="1" x14ac:dyDescent="0.3">
      <c r="E20" s="4">
        <v>10</v>
      </c>
      <c r="F20" s="32" t="s">
        <v>115</v>
      </c>
      <c r="G20" s="32"/>
      <c r="H20" s="32"/>
      <c r="I20" s="5">
        <v>1</v>
      </c>
      <c r="J20" s="19">
        <v>85</v>
      </c>
      <c r="K20" s="17" t="s">
        <v>66</v>
      </c>
      <c r="L20" s="4">
        <v>1638</v>
      </c>
      <c r="M20" s="9">
        <f t="shared" si="0"/>
        <v>139230</v>
      </c>
    </row>
    <row r="21" spans="5:18" ht="33.9" customHeight="1" x14ac:dyDescent="0.3">
      <c r="E21" s="4">
        <v>11</v>
      </c>
      <c r="F21" s="32" t="s">
        <v>116</v>
      </c>
      <c r="G21" s="32"/>
      <c r="H21" s="32"/>
      <c r="I21" s="5">
        <v>1</v>
      </c>
      <c r="J21" s="19">
        <v>85</v>
      </c>
      <c r="K21" s="17" t="s">
        <v>66</v>
      </c>
      <c r="L21" s="4">
        <v>4148</v>
      </c>
      <c r="M21" s="9">
        <f t="shared" si="0"/>
        <v>352580</v>
      </c>
    </row>
    <row r="22" spans="5:18" ht="33.9" customHeight="1" x14ac:dyDescent="0.3">
      <c r="E22" s="4">
        <v>12</v>
      </c>
      <c r="F22" s="32" t="s">
        <v>117</v>
      </c>
      <c r="G22" s="32"/>
      <c r="H22" s="32"/>
      <c r="I22" s="5">
        <v>1</v>
      </c>
      <c r="J22" s="19">
        <v>10</v>
      </c>
      <c r="K22" s="17" t="s">
        <v>66</v>
      </c>
      <c r="L22" s="4">
        <v>2520</v>
      </c>
      <c r="M22" s="9">
        <f t="shared" si="0"/>
        <v>25200</v>
      </c>
    </row>
    <row r="23" spans="5:18" ht="33.9" customHeight="1" x14ac:dyDescent="0.3">
      <c r="E23" s="4">
        <v>13</v>
      </c>
      <c r="F23" s="32" t="s">
        <v>118</v>
      </c>
      <c r="G23" s="32"/>
      <c r="H23" s="32"/>
      <c r="I23" s="5">
        <v>1</v>
      </c>
      <c r="J23" s="19">
        <v>21</v>
      </c>
      <c r="K23" s="17" t="s">
        <v>66</v>
      </c>
      <c r="L23" s="4">
        <v>264.60000000000002</v>
      </c>
      <c r="M23" s="9">
        <f t="shared" si="0"/>
        <v>5556.6</v>
      </c>
    </row>
    <row r="24" spans="5:18" ht="33.9" customHeight="1" x14ac:dyDescent="0.3">
      <c r="E24" s="4">
        <v>14</v>
      </c>
      <c r="F24" s="32" t="s">
        <v>119</v>
      </c>
      <c r="G24" s="32"/>
      <c r="H24" s="32"/>
      <c r="I24" s="5">
        <v>1</v>
      </c>
      <c r="J24" s="19">
        <v>6</v>
      </c>
      <c r="K24" s="17" t="s">
        <v>66</v>
      </c>
      <c r="L24" s="4">
        <v>1656.9</v>
      </c>
      <c r="M24" s="9">
        <f t="shared" si="0"/>
        <v>9941.4000000000015</v>
      </c>
    </row>
    <row r="25" spans="5:18" ht="33.9" customHeight="1" x14ac:dyDescent="0.3">
      <c r="E25" s="4">
        <v>15</v>
      </c>
      <c r="F25" s="32" t="s">
        <v>120</v>
      </c>
      <c r="G25" s="32"/>
      <c r="H25" s="32"/>
      <c r="I25" s="5">
        <v>1</v>
      </c>
      <c r="J25" s="19">
        <v>2</v>
      </c>
      <c r="K25" s="17" t="s">
        <v>66</v>
      </c>
      <c r="L25" s="4">
        <v>56700</v>
      </c>
      <c r="M25" s="9">
        <f t="shared" si="0"/>
        <v>113400</v>
      </c>
      <c r="O25" s="20"/>
      <c r="R25" s="20"/>
    </row>
    <row r="26" spans="5:18" ht="33.9" customHeight="1" x14ac:dyDescent="0.3">
      <c r="E26" s="4">
        <v>16</v>
      </c>
      <c r="F26" s="32" t="s">
        <v>121</v>
      </c>
      <c r="G26" s="32"/>
      <c r="H26" s="32"/>
      <c r="I26" s="5">
        <v>1</v>
      </c>
      <c r="J26" s="19">
        <v>48</v>
      </c>
      <c r="K26" s="17" t="s">
        <v>66</v>
      </c>
      <c r="L26" s="4">
        <v>453.6</v>
      </c>
      <c r="M26" s="9">
        <f t="shared" si="0"/>
        <v>21772.800000000003</v>
      </c>
    </row>
    <row r="27" spans="5:18" ht="33.9" customHeight="1" x14ac:dyDescent="0.3">
      <c r="E27" s="4">
        <v>17</v>
      </c>
      <c r="F27" s="32" t="s">
        <v>122</v>
      </c>
      <c r="G27" s="32"/>
      <c r="H27" s="32"/>
      <c r="I27" s="5">
        <v>1</v>
      </c>
      <c r="J27" s="19">
        <v>98</v>
      </c>
      <c r="K27" s="17" t="s">
        <v>66</v>
      </c>
      <c r="L27" s="4">
        <v>3402</v>
      </c>
      <c r="M27" s="9">
        <f t="shared" si="0"/>
        <v>333396</v>
      </c>
    </row>
    <row r="28" spans="5:18" ht="17.399999999999999" customHeight="1" x14ac:dyDescent="0.3">
      <c r="E28" s="4"/>
      <c r="F28" s="34" t="s">
        <v>18</v>
      </c>
      <c r="G28" s="34"/>
      <c r="H28" s="34"/>
      <c r="I28" s="34"/>
      <c r="J28" s="34"/>
      <c r="K28" s="34"/>
      <c r="L28" s="34"/>
      <c r="M28" s="10">
        <f>SUM(M11:M26)+M27</f>
        <v>1607088.5999999999</v>
      </c>
    </row>
    <row r="29" spans="5:18" ht="17.399999999999999" customHeight="1" x14ac:dyDescent="0.35">
      <c r="E29" s="16"/>
      <c r="F29" s="35" t="s">
        <v>20</v>
      </c>
      <c r="G29" s="35"/>
      <c r="H29" s="35"/>
      <c r="I29" s="35"/>
      <c r="J29" s="35"/>
      <c r="K29" s="35"/>
      <c r="L29" s="35"/>
      <c r="M29" s="6">
        <f>SUM(M11:M26)*9%+M27*6%</f>
        <v>134636.09399999998</v>
      </c>
      <c r="O29" s="20"/>
    </row>
    <row r="30" spans="5:18" ht="17.399999999999999" customHeight="1" x14ac:dyDescent="0.35">
      <c r="E30" s="16"/>
      <c r="F30" s="35" t="s">
        <v>21</v>
      </c>
      <c r="G30" s="35"/>
      <c r="H30" s="35"/>
      <c r="I30" s="35"/>
      <c r="J30" s="35"/>
      <c r="K30" s="35"/>
      <c r="L30" s="35"/>
      <c r="M30" s="6">
        <f>SUM(M11:M26)*9%+M27*6%</f>
        <v>134636.09399999998</v>
      </c>
    </row>
    <row r="31" spans="5:18" ht="17.399999999999999" customHeight="1" x14ac:dyDescent="0.35">
      <c r="E31" s="16"/>
      <c r="F31" s="35" t="s">
        <v>23</v>
      </c>
      <c r="G31" s="35"/>
      <c r="H31" s="35"/>
      <c r="I31" s="35"/>
      <c r="J31" s="35"/>
      <c r="K31" s="35"/>
      <c r="L31" s="35"/>
      <c r="M31" s="10"/>
      <c r="O31" s="20"/>
    </row>
    <row r="32" spans="5:18" ht="17.399999999999999" customHeight="1" x14ac:dyDescent="0.35">
      <c r="E32" s="16"/>
      <c r="F32" s="13"/>
      <c r="G32" s="13"/>
      <c r="H32" s="13"/>
      <c r="I32" s="13"/>
      <c r="J32" s="13"/>
      <c r="K32" s="13"/>
      <c r="L32" s="13"/>
      <c r="M32" s="10">
        <f>M28-M31+M29+M30</f>
        <v>1876360.7879999999</v>
      </c>
      <c r="O32" s="21"/>
    </row>
    <row r="33" spans="5:13" ht="15.5" x14ac:dyDescent="0.35">
      <c r="E33" s="7"/>
      <c r="F33" s="36" t="s">
        <v>123</v>
      </c>
      <c r="G33" s="36"/>
      <c r="H33" s="36"/>
      <c r="I33" s="36"/>
      <c r="J33" s="36"/>
      <c r="K33" s="36"/>
      <c r="L33" s="36"/>
      <c r="M33" s="36"/>
    </row>
    <row r="34" spans="5:13" ht="15.5" x14ac:dyDescent="0.35">
      <c r="E34" s="16"/>
      <c r="F34" s="24" t="s">
        <v>13</v>
      </c>
      <c r="G34" s="24"/>
      <c r="H34" s="24"/>
      <c r="I34" s="7"/>
      <c r="J34" s="7"/>
      <c r="K34" s="7"/>
      <c r="L34" s="7"/>
      <c r="M34" s="11"/>
    </row>
    <row r="35" spans="5:13" ht="15.5" x14ac:dyDescent="0.35">
      <c r="E35" s="16"/>
      <c r="F35" s="24" t="s">
        <v>22</v>
      </c>
      <c r="G35" s="24"/>
      <c r="H35" s="24"/>
      <c r="I35" s="7"/>
      <c r="J35" s="7"/>
      <c r="K35" s="7"/>
      <c r="L35" s="7"/>
      <c r="M35" s="11"/>
    </row>
    <row r="36" spans="5:13" ht="15.5" x14ac:dyDescent="0.35">
      <c r="E36" s="16"/>
      <c r="F36" s="24" t="s">
        <v>14</v>
      </c>
      <c r="G36" s="24"/>
      <c r="H36" s="24"/>
      <c r="I36" s="7"/>
      <c r="J36" s="7"/>
      <c r="K36" s="7"/>
      <c r="L36" s="7"/>
      <c r="M36" s="18">
        <f>M32-M34-M35</f>
        <v>1876360.7879999999</v>
      </c>
    </row>
    <row r="37" spans="5:13" ht="15.5" x14ac:dyDescent="0.35">
      <c r="E37" s="7"/>
      <c r="F37" s="7"/>
      <c r="G37" s="7"/>
      <c r="H37" s="7"/>
      <c r="I37" s="7"/>
      <c r="J37" s="7"/>
      <c r="K37" s="7"/>
      <c r="L37" s="7"/>
      <c r="M37" s="7"/>
    </row>
    <row r="38" spans="5:13" x14ac:dyDescent="0.3">
      <c r="E38" s="27"/>
      <c r="F38" s="27"/>
      <c r="G38" s="27"/>
      <c r="H38" s="27"/>
      <c r="I38" s="27"/>
      <c r="J38" s="27"/>
      <c r="K38" s="27"/>
      <c r="L38" s="27"/>
      <c r="M38" s="27"/>
    </row>
    <row r="39" spans="5:13" x14ac:dyDescent="0.3">
      <c r="E39" s="27"/>
      <c r="F39" s="27"/>
      <c r="G39" s="27"/>
      <c r="H39" s="27"/>
      <c r="I39" s="27"/>
      <c r="J39" s="27"/>
      <c r="K39" s="27"/>
      <c r="L39" s="27"/>
      <c r="M39" s="27"/>
    </row>
    <row r="40" spans="5:13" x14ac:dyDescent="0.3">
      <c r="E40" s="27"/>
      <c r="F40" s="27"/>
      <c r="G40" s="27"/>
      <c r="H40" s="27"/>
      <c r="I40" s="27"/>
      <c r="J40" s="27"/>
      <c r="K40" s="27"/>
      <c r="L40" s="27"/>
      <c r="M40" s="27"/>
    </row>
    <row r="41" spans="5:13" x14ac:dyDescent="0.3">
      <c r="E41" s="26" t="s">
        <v>15</v>
      </c>
      <c r="F41" s="26"/>
      <c r="G41" s="26"/>
      <c r="H41" s="26"/>
      <c r="I41" s="26"/>
      <c r="J41" s="26"/>
      <c r="K41" s="26"/>
      <c r="L41" s="26"/>
      <c r="M41" s="26"/>
    </row>
    <row r="42" spans="5:13" x14ac:dyDescent="0.3">
      <c r="E42" s="26"/>
      <c r="F42" s="26"/>
      <c r="G42" s="26"/>
      <c r="H42" s="26"/>
      <c r="I42" s="26"/>
      <c r="J42" s="26"/>
      <c r="K42" s="26"/>
      <c r="L42" s="26"/>
      <c r="M42" s="26"/>
    </row>
    <row r="43" spans="5:13" x14ac:dyDescent="0.3">
      <c r="E43" s="26"/>
      <c r="F43" s="26"/>
      <c r="G43" s="26"/>
      <c r="H43" s="26"/>
      <c r="I43" s="26"/>
      <c r="J43" s="26"/>
      <c r="K43" s="26"/>
      <c r="L43" s="26"/>
      <c r="M43" s="26"/>
    </row>
    <row r="44" spans="5:13" x14ac:dyDescent="0.3">
      <c r="E44" s="26"/>
      <c r="F44" s="26"/>
      <c r="G44" s="26"/>
      <c r="H44" s="26"/>
      <c r="I44" s="26"/>
      <c r="J44" s="26"/>
      <c r="K44" s="26"/>
      <c r="L44" s="26"/>
      <c r="M44" s="26"/>
    </row>
    <row r="45" spans="5:13" x14ac:dyDescent="0.3">
      <c r="E45" s="26"/>
      <c r="F45" s="26"/>
      <c r="G45" s="26"/>
      <c r="H45" s="26"/>
      <c r="I45" s="26"/>
      <c r="J45" s="26"/>
      <c r="K45" s="26"/>
      <c r="L45" s="26"/>
      <c r="M45" s="26"/>
    </row>
    <row r="46" spans="5:13" x14ac:dyDescent="0.3">
      <c r="E46" s="26"/>
      <c r="F46" s="26"/>
      <c r="G46" s="26"/>
      <c r="H46" s="26"/>
      <c r="I46" s="26"/>
      <c r="J46" s="26"/>
      <c r="K46" s="26"/>
      <c r="L46" s="26"/>
      <c r="M46" s="26"/>
    </row>
    <row r="47" spans="5:13" ht="15.5" x14ac:dyDescent="0.35">
      <c r="E47" s="7"/>
      <c r="F47" s="7"/>
      <c r="G47" s="7"/>
      <c r="H47" s="7"/>
      <c r="I47" s="7"/>
      <c r="J47" s="7"/>
      <c r="K47" s="7"/>
      <c r="L47" s="7"/>
      <c r="M47" s="7"/>
    </row>
    <row r="48" spans="5:13" ht="15.5" x14ac:dyDescent="0.35">
      <c r="E48" s="7"/>
      <c r="F48" s="7"/>
      <c r="G48" s="7"/>
      <c r="H48" s="7"/>
      <c r="I48" s="7"/>
      <c r="J48" s="7"/>
      <c r="K48" s="7"/>
      <c r="L48" s="7"/>
      <c r="M48" s="7"/>
    </row>
  </sheetData>
  <mergeCells count="44">
    <mergeCell ref="E38:M40"/>
    <mergeCell ref="E41:M42"/>
    <mergeCell ref="E43:M44"/>
    <mergeCell ref="E45:M46"/>
    <mergeCell ref="F11:H11"/>
    <mergeCell ref="F12:H12"/>
    <mergeCell ref="F13:H13"/>
    <mergeCell ref="F14:H14"/>
    <mergeCell ref="F15:H15"/>
    <mergeCell ref="F16:H16"/>
    <mergeCell ref="F30:L30"/>
    <mergeCell ref="F31:L31"/>
    <mergeCell ref="F33:M33"/>
    <mergeCell ref="F34:H34"/>
    <mergeCell ref="F35:H35"/>
    <mergeCell ref="F36:H36"/>
    <mergeCell ref="F29:L29"/>
    <mergeCell ref="F26:H26"/>
    <mergeCell ref="E9:M9"/>
    <mergeCell ref="F10:H10"/>
    <mergeCell ref="F19:H19"/>
    <mergeCell ref="F20:H20"/>
    <mergeCell ref="F21:H21"/>
    <mergeCell ref="F22:H22"/>
    <mergeCell ref="F17:H17"/>
    <mergeCell ref="F18:H18"/>
    <mergeCell ref="F23:H23"/>
    <mergeCell ref="F24:H24"/>
    <mergeCell ref="F25:H25"/>
    <mergeCell ref="F27:H27"/>
    <mergeCell ref="F28:L28"/>
    <mergeCell ref="E8:F8"/>
    <mergeCell ref="G8:M8"/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</mergeCells>
  <pageMargins left="0.7" right="0.7" top="0.75" bottom="0.75" header="0.3" footer="0.3"/>
  <pageSetup paperSize="9" scale="57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04CB-B84D-4208-A487-DAD2A383441E}">
  <sheetPr>
    <pageSetUpPr fitToPage="1"/>
  </sheetPr>
  <dimension ref="E2:O32"/>
  <sheetViews>
    <sheetView tabSelected="1" workbookViewId="0">
      <selection activeCell="F18" sqref="F18:H18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5.453125" style="1" customWidth="1"/>
    <col min="14" max="14" width="8.6328125" style="1"/>
    <col min="15" max="15" width="11.36328125" style="1" bestFit="1" customWidth="1"/>
    <col min="16" max="17" width="8.6328125" style="1"/>
    <col min="18" max="18" width="10" style="1" bestFit="1" customWidth="1"/>
    <col min="19" max="16384" width="8.6328125" style="1"/>
  </cols>
  <sheetData>
    <row r="2" spans="5:15" ht="17.5" x14ac:dyDescent="0.35">
      <c r="E2" s="22" t="s">
        <v>0</v>
      </c>
      <c r="F2" s="22"/>
      <c r="G2" s="22"/>
      <c r="H2" s="22"/>
      <c r="I2" s="22"/>
      <c r="J2" s="22"/>
      <c r="K2" s="22"/>
      <c r="L2" s="22"/>
      <c r="M2" s="22"/>
    </row>
    <row r="3" spans="5:15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5" ht="15.5" x14ac:dyDescent="0.35">
      <c r="E4" s="23" t="s">
        <v>16</v>
      </c>
      <c r="F4" s="23"/>
      <c r="G4" s="24" t="s">
        <v>25</v>
      </c>
      <c r="H4" s="24"/>
      <c r="I4" s="24"/>
      <c r="J4" s="24"/>
      <c r="K4" s="25" t="s">
        <v>19</v>
      </c>
      <c r="L4" s="25"/>
      <c r="M4" s="7" t="s">
        <v>125</v>
      </c>
    </row>
    <row r="5" spans="5:15" ht="18.899999999999999" customHeight="1" x14ac:dyDescent="0.3">
      <c r="E5" s="26" t="s">
        <v>1</v>
      </c>
      <c r="F5" s="26"/>
      <c r="G5" s="27" t="s">
        <v>26</v>
      </c>
      <c r="H5" s="27"/>
      <c r="I5" s="27"/>
      <c r="J5" s="27"/>
      <c r="K5" s="27"/>
      <c r="L5" s="27"/>
      <c r="M5" s="27"/>
    </row>
    <row r="6" spans="5:15" ht="30.9" customHeight="1" x14ac:dyDescent="0.35">
      <c r="E6" s="28" t="s">
        <v>24</v>
      </c>
      <c r="F6" s="28"/>
      <c r="G6" s="28"/>
      <c r="H6" s="28"/>
      <c r="I6" s="28"/>
      <c r="J6" s="28"/>
      <c r="K6" s="8" t="s">
        <v>2</v>
      </c>
      <c r="L6" s="29">
        <v>45861</v>
      </c>
      <c r="M6" s="30"/>
    </row>
    <row r="7" spans="5:15" ht="20.149999999999999" customHeight="1" x14ac:dyDescent="0.3">
      <c r="E7" s="31" t="s">
        <v>3</v>
      </c>
      <c r="F7" s="31"/>
      <c r="G7" s="32" t="s">
        <v>27</v>
      </c>
      <c r="H7" s="32"/>
      <c r="I7" s="32"/>
      <c r="J7" s="32"/>
      <c r="K7" s="14" t="s">
        <v>17</v>
      </c>
      <c r="L7" s="29">
        <v>45853</v>
      </c>
      <c r="M7" s="30"/>
    </row>
    <row r="8" spans="5:15" ht="18.899999999999999" customHeight="1" x14ac:dyDescent="0.3">
      <c r="E8" s="26" t="s">
        <v>5</v>
      </c>
      <c r="F8" s="26"/>
      <c r="G8" s="27" t="s">
        <v>27</v>
      </c>
      <c r="H8" s="27"/>
      <c r="I8" s="27"/>
      <c r="J8" s="27"/>
      <c r="K8" s="27"/>
      <c r="L8" s="27"/>
      <c r="M8" s="27"/>
    </row>
    <row r="9" spans="5:15" ht="20.399999999999999" customHeight="1" x14ac:dyDescent="0.3">
      <c r="E9" s="26" t="s">
        <v>4</v>
      </c>
      <c r="F9" s="26"/>
      <c r="G9" s="26"/>
      <c r="H9" s="26"/>
      <c r="I9" s="26"/>
      <c r="J9" s="26"/>
      <c r="K9" s="26"/>
      <c r="L9" s="26"/>
      <c r="M9" s="26"/>
    </row>
    <row r="10" spans="5:15" ht="30" x14ac:dyDescent="0.3">
      <c r="E10" s="2" t="s">
        <v>12</v>
      </c>
      <c r="F10" s="33" t="s">
        <v>6</v>
      </c>
      <c r="G10" s="33"/>
      <c r="H10" s="33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5" ht="33.9" customHeight="1" x14ac:dyDescent="0.3">
      <c r="E11" s="4">
        <v>1</v>
      </c>
      <c r="F11" s="32" t="s">
        <v>126</v>
      </c>
      <c r="G11" s="32"/>
      <c r="H11" s="32"/>
      <c r="I11" s="5">
        <v>1</v>
      </c>
      <c r="J11" s="19">
        <v>5</v>
      </c>
      <c r="K11" s="17" t="s">
        <v>66</v>
      </c>
      <c r="L11" s="4">
        <v>54000</v>
      </c>
      <c r="M11" s="9">
        <f t="shared" ref="M11" si="0">J11*L11*I11</f>
        <v>270000</v>
      </c>
    </row>
    <row r="12" spans="5:15" ht="17.399999999999999" customHeight="1" x14ac:dyDescent="0.3">
      <c r="E12" s="4"/>
      <c r="F12" s="34" t="s">
        <v>18</v>
      </c>
      <c r="G12" s="34"/>
      <c r="H12" s="34"/>
      <c r="I12" s="34"/>
      <c r="J12" s="34"/>
      <c r="K12" s="34"/>
      <c r="L12" s="34"/>
      <c r="M12" s="10">
        <f>M11</f>
        <v>270000</v>
      </c>
    </row>
    <row r="13" spans="5:15" ht="17.399999999999999" customHeight="1" x14ac:dyDescent="0.35">
      <c r="E13" s="16"/>
      <c r="F13" s="35" t="s">
        <v>20</v>
      </c>
      <c r="G13" s="35"/>
      <c r="H13" s="35"/>
      <c r="I13" s="35"/>
      <c r="J13" s="35"/>
      <c r="K13" s="35"/>
      <c r="L13" s="35"/>
      <c r="M13" s="10">
        <f>M12*9%</f>
        <v>24300</v>
      </c>
      <c r="O13" s="20"/>
    </row>
    <row r="14" spans="5:15" ht="17.399999999999999" customHeight="1" x14ac:dyDescent="0.35">
      <c r="E14" s="16"/>
      <c r="F14" s="35" t="s">
        <v>21</v>
      </c>
      <c r="G14" s="35"/>
      <c r="H14" s="35"/>
      <c r="I14" s="35"/>
      <c r="J14" s="35"/>
      <c r="K14" s="35"/>
      <c r="L14" s="35"/>
      <c r="M14" s="10">
        <f>M12*9%</f>
        <v>24300</v>
      </c>
    </row>
    <row r="15" spans="5:15" ht="17.399999999999999" customHeight="1" x14ac:dyDescent="0.35">
      <c r="E15" s="16"/>
      <c r="F15" s="35" t="s">
        <v>23</v>
      </c>
      <c r="G15" s="35"/>
      <c r="H15" s="35"/>
      <c r="I15" s="35"/>
      <c r="J15" s="35"/>
      <c r="K15" s="35"/>
      <c r="L15" s="35"/>
      <c r="M15" s="10"/>
      <c r="O15" s="20"/>
    </row>
    <row r="16" spans="5:15" ht="17.399999999999999" customHeight="1" x14ac:dyDescent="0.35">
      <c r="E16" s="16"/>
      <c r="F16" s="13"/>
      <c r="G16" s="13"/>
      <c r="H16" s="13"/>
      <c r="I16" s="13"/>
      <c r="J16" s="13"/>
      <c r="K16" s="13"/>
      <c r="L16" s="13"/>
      <c r="M16" s="10">
        <f>M12-M15+M13+M14</f>
        <v>318600</v>
      </c>
      <c r="O16" s="21"/>
    </row>
    <row r="17" spans="5:13" ht="15.5" x14ac:dyDescent="0.35">
      <c r="E17" s="7"/>
      <c r="F17" s="36" t="s">
        <v>127</v>
      </c>
      <c r="G17" s="36"/>
      <c r="H17" s="36"/>
      <c r="I17" s="36"/>
      <c r="J17" s="36"/>
      <c r="K17" s="36"/>
      <c r="L17" s="36"/>
      <c r="M17" s="36"/>
    </row>
    <row r="18" spans="5:13" ht="15.5" x14ac:dyDescent="0.35">
      <c r="E18" s="16"/>
      <c r="F18" s="24" t="s">
        <v>13</v>
      </c>
      <c r="G18" s="24"/>
      <c r="H18" s="24"/>
      <c r="I18" s="7"/>
      <c r="J18" s="7"/>
      <c r="K18" s="7"/>
      <c r="L18" s="7"/>
      <c r="M18" s="11"/>
    </row>
    <row r="19" spans="5:13" ht="15.5" x14ac:dyDescent="0.35">
      <c r="E19" s="16"/>
      <c r="F19" s="24" t="s">
        <v>22</v>
      </c>
      <c r="G19" s="24"/>
      <c r="H19" s="24"/>
      <c r="I19" s="7"/>
      <c r="J19" s="7"/>
      <c r="K19" s="7"/>
      <c r="L19" s="7"/>
      <c r="M19" s="11"/>
    </row>
    <row r="20" spans="5:13" ht="15.5" x14ac:dyDescent="0.35">
      <c r="E20" s="16"/>
      <c r="F20" s="24" t="s">
        <v>14</v>
      </c>
      <c r="G20" s="24"/>
      <c r="H20" s="24"/>
      <c r="I20" s="7"/>
      <c r="J20" s="7"/>
      <c r="K20" s="7"/>
      <c r="L20" s="7"/>
      <c r="M20" s="18">
        <f>M16-M18-M19</f>
        <v>318600</v>
      </c>
    </row>
    <row r="21" spans="5:13" ht="15.5" x14ac:dyDescent="0.35">
      <c r="E21" s="7"/>
      <c r="F21" s="7"/>
      <c r="G21" s="7"/>
      <c r="H21" s="7"/>
      <c r="I21" s="7"/>
      <c r="J21" s="7"/>
      <c r="K21" s="7"/>
      <c r="L21" s="7"/>
      <c r="M21" s="7"/>
    </row>
    <row r="22" spans="5:13" x14ac:dyDescent="0.3">
      <c r="E22" s="27"/>
      <c r="F22" s="27"/>
      <c r="G22" s="27"/>
      <c r="H22" s="27"/>
      <c r="I22" s="27"/>
      <c r="J22" s="27"/>
      <c r="K22" s="27"/>
      <c r="L22" s="27"/>
      <c r="M22" s="27"/>
    </row>
    <row r="23" spans="5:13" x14ac:dyDescent="0.3">
      <c r="E23" s="27"/>
      <c r="F23" s="27"/>
      <c r="G23" s="27"/>
      <c r="H23" s="27"/>
      <c r="I23" s="27"/>
      <c r="J23" s="27"/>
      <c r="K23" s="27"/>
      <c r="L23" s="27"/>
      <c r="M23" s="27"/>
    </row>
    <row r="24" spans="5:13" x14ac:dyDescent="0.3">
      <c r="E24" s="27"/>
      <c r="F24" s="27"/>
      <c r="G24" s="27"/>
      <c r="H24" s="27"/>
      <c r="I24" s="27"/>
      <c r="J24" s="27"/>
      <c r="K24" s="27"/>
      <c r="L24" s="27"/>
      <c r="M24" s="27"/>
    </row>
    <row r="25" spans="5:13" x14ac:dyDescent="0.3">
      <c r="E25" s="26" t="s">
        <v>15</v>
      </c>
      <c r="F25" s="26"/>
      <c r="G25" s="26"/>
      <c r="H25" s="26"/>
      <c r="I25" s="26"/>
      <c r="J25" s="26"/>
      <c r="K25" s="26"/>
      <c r="L25" s="26"/>
      <c r="M25" s="26"/>
    </row>
    <row r="26" spans="5:13" x14ac:dyDescent="0.3">
      <c r="E26" s="26"/>
      <c r="F26" s="26"/>
      <c r="G26" s="26"/>
      <c r="H26" s="26"/>
      <c r="I26" s="26"/>
      <c r="J26" s="26"/>
      <c r="K26" s="26"/>
      <c r="L26" s="26"/>
      <c r="M26" s="26"/>
    </row>
    <row r="27" spans="5:13" x14ac:dyDescent="0.3">
      <c r="E27" s="26"/>
      <c r="F27" s="26"/>
      <c r="G27" s="26"/>
      <c r="H27" s="26"/>
      <c r="I27" s="26"/>
      <c r="J27" s="26"/>
      <c r="K27" s="26"/>
      <c r="L27" s="26"/>
      <c r="M27" s="26"/>
    </row>
    <row r="28" spans="5:13" x14ac:dyDescent="0.3">
      <c r="E28" s="26"/>
      <c r="F28" s="26"/>
      <c r="G28" s="26"/>
      <c r="H28" s="26"/>
      <c r="I28" s="26"/>
      <c r="J28" s="26"/>
      <c r="K28" s="26"/>
      <c r="L28" s="26"/>
      <c r="M28" s="26"/>
    </row>
    <row r="29" spans="5:13" x14ac:dyDescent="0.3">
      <c r="E29" s="26"/>
      <c r="F29" s="26"/>
      <c r="G29" s="26"/>
      <c r="H29" s="26"/>
      <c r="I29" s="26"/>
      <c r="J29" s="26"/>
      <c r="K29" s="26"/>
      <c r="L29" s="26"/>
      <c r="M29" s="26"/>
    </row>
    <row r="30" spans="5:13" x14ac:dyDescent="0.3">
      <c r="E30" s="26"/>
      <c r="F30" s="26"/>
      <c r="G30" s="26"/>
      <c r="H30" s="26"/>
      <c r="I30" s="26"/>
      <c r="J30" s="26"/>
      <c r="K30" s="26"/>
      <c r="L30" s="26"/>
      <c r="M30" s="26"/>
    </row>
    <row r="31" spans="5:13" ht="15.5" x14ac:dyDescent="0.35">
      <c r="E31" s="7"/>
      <c r="F31" s="7"/>
      <c r="G31" s="7"/>
      <c r="H31" s="7"/>
      <c r="I31" s="7"/>
      <c r="J31" s="7"/>
      <c r="K31" s="7"/>
      <c r="L31" s="7"/>
      <c r="M31" s="7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</sheetData>
  <mergeCells count="28">
    <mergeCell ref="E29:M30"/>
    <mergeCell ref="F18:H18"/>
    <mergeCell ref="F19:H19"/>
    <mergeCell ref="F20:H20"/>
    <mergeCell ref="E22:M24"/>
    <mergeCell ref="E25:M26"/>
    <mergeCell ref="E27:M28"/>
    <mergeCell ref="F12:L12"/>
    <mergeCell ref="F13:L13"/>
    <mergeCell ref="F14:L14"/>
    <mergeCell ref="F15:L15"/>
    <mergeCell ref="F17:M17"/>
    <mergeCell ref="E9:M9"/>
    <mergeCell ref="F10:H10"/>
    <mergeCell ref="F11:H11"/>
    <mergeCell ref="E6:J6"/>
    <mergeCell ref="L6:M6"/>
    <mergeCell ref="E7:F7"/>
    <mergeCell ref="G7:J7"/>
    <mergeCell ref="L7:M7"/>
    <mergeCell ref="E8:F8"/>
    <mergeCell ref="G8:M8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7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442A-46E3-494C-AA46-4D93E9D7FBA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Bill-1</vt:lpstr>
      <vt:lpstr>Bill-2</vt:lpstr>
      <vt:lpstr>Bill-3</vt:lpstr>
      <vt:lpstr>Bill-4</vt:lpstr>
      <vt:lpstr>Bill-5</vt:lpstr>
      <vt:lpstr>Bill-6</vt:lpstr>
      <vt:lpstr>Bill-7</vt:lpstr>
      <vt:lpstr>Bill-8</vt:lpstr>
      <vt:lpstr>Bill-9</vt:lpstr>
      <vt:lpstr>Bill-10</vt:lpstr>
      <vt:lpstr>Bill-11</vt:lpstr>
      <vt:lpstr>Bill-12</vt:lpstr>
      <vt:lpstr>Bill-13</vt:lpstr>
      <vt:lpstr>Bill-14</vt:lpstr>
      <vt:lpstr>Bill-15</vt:lpstr>
      <vt:lpstr>Bill-16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2025-04-26T12:13:03Z</cp:lastPrinted>
  <dcterms:created xsi:type="dcterms:W3CDTF">2017-06-28T08:31:23Z</dcterms:created>
  <dcterms:modified xsi:type="dcterms:W3CDTF">2025-07-23T10:14:35Z</dcterms:modified>
</cp:coreProperties>
</file>