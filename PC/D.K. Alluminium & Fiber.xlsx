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tudio 13\Project management\Pramukh Revanta\Payment certificate\"/>
    </mc:Choice>
  </mc:AlternateContent>
  <xr:revisionPtr revIDLastSave="0" documentId="13_ncr:1_{50E35332-60AD-4AAC-A303-46C8D2C239CA}" xr6:coauthVersionLast="47" xr6:coauthVersionMax="47" xr10:uidLastSave="{00000000-0000-0000-0000-000000000000}"/>
  <bookViews>
    <workbookView xWindow="-110" yWindow="-110" windowWidth="19420" windowHeight="10300" activeTab="10" xr2:uid="{00000000-000D-0000-FFFF-FFFF00000000}"/>
  </bookViews>
  <sheets>
    <sheet name="1" sheetId="22" r:id="rId1"/>
    <sheet name="2" sheetId="23" r:id="rId2"/>
    <sheet name="3" sheetId="24" r:id="rId3"/>
    <sheet name="4" sheetId="25" r:id="rId4"/>
    <sheet name="5" sheetId="26" r:id="rId5"/>
    <sheet name="6" sheetId="27" r:id="rId6"/>
    <sheet name="7" sheetId="29" r:id="rId7"/>
    <sheet name="8" sheetId="30" r:id="rId8"/>
    <sheet name="9" sheetId="31" r:id="rId9"/>
    <sheet name="10" sheetId="32" r:id="rId10"/>
    <sheet name="11" sheetId="33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26" i="33" l="1"/>
  <c r="J21" i="33"/>
  <c r="J18" i="33"/>
  <c r="J17" i="33"/>
  <c r="J16" i="33"/>
  <c r="J15" i="33"/>
  <c r="J14" i="33"/>
  <c r="J13" i="33"/>
  <c r="J12" i="33"/>
  <c r="J22" i="33"/>
  <c r="J20" i="33"/>
  <c r="J19" i="33"/>
  <c r="J11" i="33"/>
  <c r="J25" i="33"/>
  <c r="J24" i="33"/>
  <c r="J23" i="33"/>
  <c r="L15" i="32"/>
  <c r="G14" i="32"/>
  <c r="G13" i="32"/>
  <c r="G12" i="32"/>
  <c r="J12" i="32" s="1"/>
  <c r="G11" i="32"/>
  <c r="J11" i="32" s="1"/>
  <c r="J14" i="32"/>
  <c r="J13" i="32"/>
  <c r="J14" i="31"/>
  <c r="G12" i="31"/>
  <c r="G11" i="31"/>
  <c r="J11" i="31" s="1"/>
  <c r="J15" i="31"/>
  <c r="J13" i="31"/>
  <c r="J12" i="31"/>
  <c r="G14" i="30"/>
  <c r="G13" i="30"/>
  <c r="G12" i="30"/>
  <c r="G11" i="30"/>
  <c r="J14" i="30"/>
  <c r="J13" i="30"/>
  <c r="J12" i="30"/>
  <c r="J11" i="30"/>
  <c r="J15" i="29"/>
  <c r="G14" i="29"/>
  <c r="G13" i="29"/>
  <c r="G12" i="29"/>
  <c r="J12" i="29" s="1"/>
  <c r="J13" i="29"/>
  <c r="G11" i="29"/>
  <c r="J11" i="29" s="1"/>
  <c r="J14" i="29"/>
  <c r="J18" i="29" s="1"/>
  <c r="J22" i="29" s="1"/>
  <c r="G11" i="27"/>
  <c r="J11" i="27" s="1"/>
  <c r="J12" i="27"/>
  <c r="G11" i="26"/>
  <c r="J11" i="26" s="1"/>
  <c r="J16" i="25"/>
  <c r="G15" i="25"/>
  <c r="G14" i="25"/>
  <c r="G12" i="25"/>
  <c r="G11" i="25"/>
  <c r="J14" i="25"/>
  <c r="J15" i="25"/>
  <c r="J13" i="25"/>
  <c r="J12" i="25"/>
  <c r="J11" i="25"/>
  <c r="L16" i="22"/>
  <c r="L13" i="24"/>
  <c r="G12" i="24"/>
  <c r="G14" i="24"/>
  <c r="J14" i="24" s="1"/>
  <c r="G13" i="24"/>
  <c r="J12" i="24"/>
  <c r="G11" i="24"/>
  <c r="J11" i="24" s="1"/>
  <c r="J13" i="24"/>
  <c r="G15" i="23"/>
  <c r="J15" i="23"/>
  <c r="G14" i="23"/>
  <c r="J14" i="23" s="1"/>
  <c r="J13" i="23"/>
  <c r="J12" i="23"/>
  <c r="J11" i="23"/>
  <c r="G11" i="23"/>
  <c r="J26" i="33" l="1"/>
  <c r="J29" i="33" s="1"/>
  <c r="J33" i="33" s="1"/>
  <c r="J15" i="32"/>
  <c r="J18" i="32" s="1"/>
  <c r="J22" i="32" s="1"/>
  <c r="J16" i="31"/>
  <c r="J19" i="31" s="1"/>
  <c r="J23" i="31" s="1"/>
  <c r="J15" i="30"/>
  <c r="J18" i="30" s="1"/>
  <c r="J22" i="30" s="1"/>
  <c r="J13" i="27"/>
  <c r="J16" i="27" s="1"/>
  <c r="J20" i="27" s="1"/>
  <c r="J12" i="26"/>
  <c r="J19" i="25"/>
  <c r="J23" i="25" s="1"/>
  <c r="L13" i="25"/>
  <c r="J15" i="24"/>
  <c r="J18" i="24" s="1"/>
  <c r="J22" i="24" s="1"/>
  <c r="J16" i="23"/>
  <c r="J19" i="23" s="1"/>
  <c r="J23" i="23" s="1"/>
  <c r="J15" i="26" l="1"/>
  <c r="J19" i="26" s="1"/>
  <c r="G15" i="22"/>
  <c r="G14" i="22"/>
  <c r="G13" i="22"/>
  <c r="G12" i="22"/>
  <c r="G11" i="22"/>
  <c r="J14" i="22"/>
  <c r="J13" i="22"/>
  <c r="J11" i="22"/>
  <c r="J12" i="22"/>
  <c r="J15" i="22" l="1"/>
  <c r="J16" i="22" s="1"/>
  <c r="J19" i="22" l="1"/>
  <c r="J23" i="22" s="1"/>
</calcChain>
</file>

<file path=xl/sharedStrings.xml><?xml version="1.0" encoding="utf-8"?>
<sst xmlns="http://schemas.openxmlformats.org/spreadsheetml/2006/main" count="438" uniqueCount="93">
  <si>
    <t>Payment Certificate</t>
  </si>
  <si>
    <t xml:space="preserve">Vendor Name </t>
  </si>
  <si>
    <t xml:space="preserve">Date - </t>
  </si>
  <si>
    <t xml:space="preserve">Type of Work - </t>
  </si>
  <si>
    <t>Payment Details</t>
  </si>
  <si>
    <t>Type of Contract -</t>
  </si>
  <si>
    <t xml:space="preserve">Items </t>
  </si>
  <si>
    <t>% of Work Completed</t>
  </si>
  <si>
    <t>Qty</t>
  </si>
  <si>
    <t>Unit</t>
  </si>
  <si>
    <t>Amount</t>
  </si>
  <si>
    <t>Sr.
No.</t>
  </si>
  <si>
    <t xml:space="preserve">Advance Payment </t>
  </si>
  <si>
    <t>Balance Payment to be paid</t>
  </si>
  <si>
    <t>TDS will be deducted as per applicable rules at your end</t>
  </si>
  <si>
    <t xml:space="preserve">Approved By - </t>
  </si>
  <si>
    <t xml:space="preserve">Company Name </t>
  </si>
  <si>
    <t>Bill Date</t>
  </si>
  <si>
    <t xml:space="preserve">Total Bill Amount </t>
  </si>
  <si>
    <t xml:space="preserve"> </t>
  </si>
  <si>
    <t>Retention @ 5% to be deducted</t>
  </si>
  <si>
    <t>Rate/
Flat</t>
  </si>
  <si>
    <t>Invoice No.</t>
  </si>
  <si>
    <t>GST @ 18%</t>
  </si>
  <si>
    <t>Sq.ft.</t>
  </si>
  <si>
    <t>To, 
Tanvi Infracon - Pramukh Revanta</t>
  </si>
  <si>
    <t>D.K. Alluminum &amp; Fiber</t>
  </si>
  <si>
    <t>Hasmukhbhai</t>
  </si>
  <si>
    <t>Aluminium Window Fitting work</t>
  </si>
  <si>
    <t>D- Building Window (109 to 1309) (13 Flats)</t>
  </si>
  <si>
    <t>D- Building Window (110 to 1310) (13 Flats)</t>
  </si>
  <si>
    <t>Passage Window (13 Floors)</t>
  </si>
  <si>
    <t>Ventilation (109 to 1309)</t>
  </si>
  <si>
    <t>Ventilation (110 to 1310)</t>
  </si>
  <si>
    <t>Fifteen Lakh Sixty Five Thousand Two Hundred Twenty Four Only</t>
  </si>
  <si>
    <t>E- Building Window (102 to 1312) (13 Flats)</t>
  </si>
  <si>
    <t>E- Building Window (101 to 1311) (13 Flats)</t>
  </si>
  <si>
    <t>Ventilation (101 to 1311)</t>
  </si>
  <si>
    <t>Ventilation (102 to 1312)</t>
  </si>
  <si>
    <t>Fifteen Lakh Sixty Five Thousand Two Hundred Fourty Nine Only</t>
  </si>
  <si>
    <t>D- Building Passage Window Near Lift</t>
  </si>
  <si>
    <t xml:space="preserve">D- Building Half Round Louvers Openable </t>
  </si>
  <si>
    <t>E- Building Passage Window Near Lift</t>
  </si>
  <si>
    <t>E-Building Half Round Louvers Openable</t>
  </si>
  <si>
    <t>Four Lakh Five Thousand Nine Hundred Forty Only</t>
  </si>
  <si>
    <t xml:space="preserve">R40 A-Building </t>
  </si>
  <si>
    <t xml:space="preserve">R40 E-Building </t>
  </si>
  <si>
    <t xml:space="preserve">R40 D-Building </t>
  </si>
  <si>
    <t xml:space="preserve">R40 C-Building </t>
  </si>
  <si>
    <t xml:space="preserve">R40 B-Building </t>
  </si>
  <si>
    <t>One Lakh Six Thousand One Hundred Fifty Only</t>
  </si>
  <si>
    <t>B- Building Terrace Window and Duct Window (38 Nos.)</t>
  </si>
  <si>
    <t>Two Lakh Eighty Five Thousand Two Hundred Three Only</t>
  </si>
  <si>
    <t>C- Building Terrace Window and Duct Window (23 Nos.)</t>
  </si>
  <si>
    <t>Lock</t>
  </si>
  <si>
    <t>Nos.</t>
  </si>
  <si>
    <t>Two Lakh Twelve Thousand Four Hundred Only</t>
  </si>
  <si>
    <t>C- Building 105 and 108 Window (26 Flats)</t>
  </si>
  <si>
    <t>Toilet Ventilation work 105 and 108 Window (26 Flats)</t>
  </si>
  <si>
    <t>C- Building 106 and 107 Window (26 Flats)</t>
  </si>
  <si>
    <t>Toilet Ventilation work 106 and 107 Window (26 Flats)</t>
  </si>
  <si>
    <t>Twenty Seven Lakh Fourty Nine Thousand Nine Hundred Fifty Two Only</t>
  </si>
  <si>
    <t>Toilet Ventilation work 104 Window (13 Flats)</t>
  </si>
  <si>
    <t>Toilet Ventilation work 103 Window (13 Flats)</t>
  </si>
  <si>
    <t>Fifteen Lakh Fourty One Thousand Eight Hundred Sixteen Only</t>
  </si>
  <si>
    <t>A- Building Passage Window (13 Floors)</t>
  </si>
  <si>
    <t>B- Building Passage Window (13 Floors)</t>
  </si>
  <si>
    <t>A- Building Lift Window</t>
  </si>
  <si>
    <t>B- Building Lift Window</t>
  </si>
  <si>
    <t>Handle with lock</t>
  </si>
  <si>
    <t>Two Lakh Fourty Three Thousand Two Hundred Seventy Six Only</t>
  </si>
  <si>
    <t>A- Building 101 Window (13 Flats)</t>
  </si>
  <si>
    <t>A- Building 102 Window (13 Flats)</t>
  </si>
  <si>
    <t>B- Building 103 Window (13 Flats)</t>
  </si>
  <si>
    <t>B- Building 104 Window (13 Flats)</t>
  </si>
  <si>
    <t>Fifteen Lakh Thirty One Thousand One Hundred Fourty Three Only</t>
  </si>
  <si>
    <t>Security Cabin R-40 Door Tuffon Glass with Framing</t>
  </si>
  <si>
    <t>Tuffon Glass</t>
  </si>
  <si>
    <t>Tempo Rent for Door</t>
  </si>
  <si>
    <t>Lumsum</t>
  </si>
  <si>
    <t>A + B Building Gym Louvers</t>
  </si>
  <si>
    <t>D + E Building Social Club Louvers</t>
  </si>
  <si>
    <t>Tansformer Half Round Louvers</t>
  </si>
  <si>
    <t>E- Building Manager cabin toilet window</t>
  </si>
  <si>
    <t xml:space="preserve">B- Building Watchman area toilet window </t>
  </si>
  <si>
    <t xml:space="preserve">C- Building Basement Half round Opp. </t>
  </si>
  <si>
    <t>ST-167 Glass A,B,D and E</t>
  </si>
  <si>
    <t>Temp Rent for Glass</t>
  </si>
  <si>
    <t>Plain Glass Used</t>
  </si>
  <si>
    <t>Basement Window</t>
  </si>
  <si>
    <t>Temp Rent for Window</t>
  </si>
  <si>
    <t>Carting Labour for 10, 11 and 12th Floor</t>
  </si>
  <si>
    <t>Two Lakh Ninty Four Thousand Five Hundred Fifty Three 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</si>
</sst>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(* #,##0.00_);_(* \(#,##0.00\);_(* &quot;-&quot;??_);_(@_)"/>
    <numFmt numFmtId="165" formatCode="_(* #,##0_);_(* \(#,##0\);_(* &quot;-&quot;??_);_(@_)"/>
    <numFmt numFmtId="166" formatCode="0.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  <xf numFmtId="164" fontId="5" fillId="0" borderId="0" xfId="0" applyNumberFormat="1" applyFont="1" applyAlignment="1">
      <alignment vertical="center"/>
    </xf>
    <xf numFmtId="0" fontId="4" fillId="0" borderId="0" xfId="0" applyFont="1"/>
    <xf numFmtId="164" fontId="5" fillId="0" borderId="0" xfId="1" applyFont="1"/>
    <xf numFmtId="0" fontId="5" fillId="0" borderId="0" xfId="0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center" vertical="center"/>
    </xf>
    <xf numFmtId="165" fontId="4" fillId="0" borderId="0" xfId="1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43" fontId="2" fillId="0" borderId="0" xfId="0" applyNumberFormat="1" applyFont="1"/>
    <xf numFmtId="165" fontId="4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vertical="center"/>
    </xf>
    <xf numFmtId="165" fontId="5" fillId="0" borderId="0" xfId="0" applyNumberFormat="1" applyFont="1"/>
    <xf numFmtId="165" fontId="2" fillId="0" borderId="0" xfId="0" applyNumberFormat="1" applyFont="1"/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horizontal="right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left" wrapText="1"/>
    </xf>
    <xf numFmtId="15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L35"/>
  <sheetViews>
    <sheetView topLeftCell="A4" zoomScaleNormal="100" workbookViewId="0">
      <selection activeCell="L17" sqref="L17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6384" width="8.6328125" style="1"/>
  </cols>
  <sheetData>
    <row r="2" spans="2:12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2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2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2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2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45566</v>
      </c>
      <c r="J6" s="31"/>
    </row>
    <row r="7" spans="2:12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45561</v>
      </c>
      <c r="J7" s="31"/>
    </row>
    <row r="8" spans="2:12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2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2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2" ht="33.9" customHeight="1" x14ac:dyDescent="0.3">
      <c r="B11" s="4">
        <v>1</v>
      </c>
      <c r="C11" s="33" t="s">
        <v>29</v>
      </c>
      <c r="D11" s="33"/>
      <c r="E11" s="33"/>
      <c r="F11" s="5">
        <v>1</v>
      </c>
      <c r="G11" s="19">
        <f>265.75*13</f>
        <v>3454.75</v>
      </c>
      <c r="H11" s="4" t="s">
        <v>24</v>
      </c>
      <c r="I11" s="12">
        <v>195</v>
      </c>
      <c r="J11" s="18">
        <f>F11*I11*G11</f>
        <v>673676.25</v>
      </c>
    </row>
    <row r="12" spans="2:12" ht="33.9" customHeight="1" x14ac:dyDescent="0.3">
      <c r="B12" s="4">
        <v>2</v>
      </c>
      <c r="C12" s="33" t="s">
        <v>30</v>
      </c>
      <c r="D12" s="33"/>
      <c r="E12" s="33"/>
      <c r="F12" s="5">
        <v>1</v>
      </c>
      <c r="G12" s="19">
        <f>269.625*13</f>
        <v>3505.125</v>
      </c>
      <c r="H12" s="4" t="s">
        <v>24</v>
      </c>
      <c r="I12" s="12">
        <v>195</v>
      </c>
      <c r="J12" s="18">
        <f>F12*I12*G12</f>
        <v>683499.375</v>
      </c>
    </row>
    <row r="13" spans="2:12" ht="33.9" customHeight="1" x14ac:dyDescent="0.3">
      <c r="B13" s="4">
        <v>3</v>
      </c>
      <c r="C13" s="33" t="s">
        <v>31</v>
      </c>
      <c r="D13" s="33"/>
      <c r="E13" s="33"/>
      <c r="F13" s="5">
        <v>1</v>
      </c>
      <c r="G13" s="11">
        <f>13*13</f>
        <v>169</v>
      </c>
      <c r="H13" s="4" t="s">
        <v>24</v>
      </c>
      <c r="I13" s="12">
        <v>195</v>
      </c>
      <c r="J13" s="18">
        <f>F13*I13*G13</f>
        <v>32955</v>
      </c>
    </row>
    <row r="14" spans="2:12" ht="33.9" customHeight="1" x14ac:dyDescent="0.3">
      <c r="B14" s="4">
        <v>4</v>
      </c>
      <c r="C14" s="33" t="s">
        <v>32</v>
      </c>
      <c r="D14" s="33"/>
      <c r="E14" s="33"/>
      <c r="F14" s="5">
        <v>1</v>
      </c>
      <c r="G14" s="19">
        <f>30.125*13</f>
        <v>391.625</v>
      </c>
      <c r="H14" s="4" t="s">
        <v>24</v>
      </c>
      <c r="I14" s="12">
        <v>250</v>
      </c>
      <c r="J14" s="18">
        <f>F14*I14*G14</f>
        <v>97906.25</v>
      </c>
    </row>
    <row r="15" spans="2:12" ht="33.9" customHeight="1" x14ac:dyDescent="0.3">
      <c r="B15" s="4">
        <v>5</v>
      </c>
      <c r="C15" s="33" t="s">
        <v>33</v>
      </c>
      <c r="D15" s="33"/>
      <c r="E15" s="33"/>
      <c r="F15" s="5">
        <v>1</v>
      </c>
      <c r="G15" s="11">
        <f>23.75*13</f>
        <v>308.75</v>
      </c>
      <c r="H15" s="4" t="s">
        <v>24</v>
      </c>
      <c r="I15" s="12">
        <v>250</v>
      </c>
      <c r="J15" s="18">
        <f>F15*I15*G15</f>
        <v>77187.5</v>
      </c>
    </row>
    <row r="16" spans="2:12" ht="17.399999999999999" customHeight="1" x14ac:dyDescent="0.35">
      <c r="B16" s="16"/>
      <c r="C16" s="28" t="s">
        <v>18</v>
      </c>
      <c r="D16" s="28"/>
      <c r="E16" s="28"/>
      <c r="F16" s="28"/>
      <c r="G16" s="28"/>
      <c r="H16" s="28"/>
      <c r="I16" s="28"/>
      <c r="J16" s="20">
        <f>SUM(J11:J15)</f>
        <v>1565224.375</v>
      </c>
      <c r="L16" s="22">
        <f>J16+'2'!J16+'3'!J15</f>
        <v>3536412.875</v>
      </c>
    </row>
    <row r="17" spans="2:12" ht="17.399999999999999" customHeight="1" x14ac:dyDescent="0.35">
      <c r="B17" s="16"/>
      <c r="C17" s="26" t="s">
        <v>23</v>
      </c>
      <c r="D17" s="26"/>
      <c r="E17" s="26"/>
      <c r="F17" s="26"/>
      <c r="G17" s="26"/>
      <c r="H17" s="26"/>
      <c r="I17" s="26"/>
      <c r="J17" s="6">
        <v>0</v>
      </c>
    </row>
    <row r="18" spans="2:12" ht="17.399999999999999" customHeight="1" x14ac:dyDescent="0.35">
      <c r="B18" s="16"/>
      <c r="C18" s="26"/>
      <c r="D18" s="26"/>
      <c r="E18" s="26"/>
      <c r="F18" s="26"/>
      <c r="G18" s="26"/>
      <c r="H18" s="26"/>
      <c r="I18" s="26"/>
      <c r="J18" s="6"/>
      <c r="L18" s="17"/>
    </row>
    <row r="19" spans="2:12" ht="17.399999999999999" customHeight="1" x14ac:dyDescent="0.35">
      <c r="B19" s="16"/>
      <c r="C19" s="14"/>
      <c r="D19" s="14"/>
      <c r="E19" s="14"/>
      <c r="F19" s="14"/>
      <c r="G19" s="14"/>
      <c r="H19" s="14"/>
      <c r="I19" s="14"/>
      <c r="J19" s="20">
        <f>J16+J17+J18</f>
        <v>1565224.375</v>
      </c>
    </row>
    <row r="20" spans="2:12" ht="15.5" x14ac:dyDescent="0.35">
      <c r="B20" s="7"/>
      <c r="C20" s="27" t="s">
        <v>34</v>
      </c>
      <c r="D20" s="27"/>
      <c r="E20" s="27"/>
      <c r="F20" s="27"/>
      <c r="G20" s="27"/>
      <c r="H20" s="27"/>
      <c r="I20" s="27"/>
      <c r="J20" s="27"/>
    </row>
    <row r="21" spans="2:12" ht="15.5" x14ac:dyDescent="0.35">
      <c r="B21" s="16"/>
      <c r="C21" s="23" t="s">
        <v>12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20</v>
      </c>
      <c r="D22" s="23"/>
      <c r="E22" s="23"/>
      <c r="F22" s="7"/>
      <c r="G22" s="7"/>
      <c r="H22" s="7"/>
      <c r="I22" s="7"/>
      <c r="J22" s="8">
        <v>0</v>
      </c>
    </row>
    <row r="23" spans="2:12" ht="15.5" x14ac:dyDescent="0.35">
      <c r="B23" s="16"/>
      <c r="C23" s="23" t="s">
        <v>13</v>
      </c>
      <c r="D23" s="23"/>
      <c r="E23" s="23"/>
      <c r="F23" s="7"/>
      <c r="G23" s="7" t="s">
        <v>19</v>
      </c>
      <c r="H23" s="7"/>
      <c r="I23" s="7"/>
      <c r="J23" s="21">
        <f>J19</f>
        <v>1565224.375</v>
      </c>
    </row>
    <row r="24" spans="2:12" ht="15.5" x14ac:dyDescent="0.35">
      <c r="B24" s="7"/>
      <c r="C24" s="23"/>
      <c r="D24" s="23"/>
      <c r="E24" s="23"/>
      <c r="F24" s="7"/>
      <c r="G24" s="7"/>
      <c r="H24" s="7"/>
      <c r="I24" s="7"/>
      <c r="J24" s="7"/>
      <c r="L24" s="10"/>
    </row>
    <row r="25" spans="2:12" x14ac:dyDescent="0.3">
      <c r="B25" s="24" t="s">
        <v>14</v>
      </c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2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30" spans="2:12" ht="14.15" customHeight="1" x14ac:dyDescent="0.3">
      <c r="B30" s="25" t="s">
        <v>15</v>
      </c>
      <c r="C30" s="25"/>
      <c r="D30" s="25"/>
      <c r="E30" s="25"/>
      <c r="F30" s="25"/>
      <c r="G30" s="25"/>
      <c r="H30" s="25"/>
      <c r="I30" s="25"/>
      <c r="J30" s="25"/>
    </row>
    <row r="31" spans="2:12" ht="14.15" customHeight="1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x14ac:dyDescent="0.3">
      <c r="B33" s="25"/>
      <c r="C33" s="25"/>
      <c r="D33" s="25"/>
      <c r="E33" s="25"/>
      <c r="F33" s="25"/>
      <c r="G33" s="25"/>
      <c r="H33" s="25"/>
      <c r="I33" s="25"/>
      <c r="J33" s="25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</sheetData>
  <mergeCells count="31">
    <mergeCell ref="B2:J2"/>
    <mergeCell ref="B4:C4"/>
    <mergeCell ref="D4:G4"/>
    <mergeCell ref="H4:I4"/>
    <mergeCell ref="B5:C5"/>
    <mergeCell ref="D5:J5"/>
    <mergeCell ref="C16:I16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5:E15"/>
    <mergeCell ref="C11:E11"/>
    <mergeCell ref="C12:E12"/>
    <mergeCell ref="C13:E13"/>
    <mergeCell ref="C14:E14"/>
    <mergeCell ref="C24:E24"/>
    <mergeCell ref="B25:J27"/>
    <mergeCell ref="B30:J31"/>
    <mergeCell ref="B32:J33"/>
    <mergeCell ref="C17:I17"/>
    <mergeCell ref="C18:I18"/>
    <mergeCell ref="C20:J20"/>
    <mergeCell ref="C21:E21"/>
    <mergeCell ref="C22:E22"/>
    <mergeCell ref="C23:E23"/>
  </mergeCells>
  <pageMargins left="0.7" right="0.7" top="0.75" bottom="0.75" header="0.3" footer="0.3"/>
  <pageSetup paperSize="9" scale="70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0335F1-BC1B-4DB2-9440-129FFD6C12C7}">
  <sheetPr>
    <pageSetUpPr fitToPage="1"/>
  </sheetPr>
  <dimension ref="B2:L35"/>
  <sheetViews>
    <sheetView topLeftCell="A4" zoomScaleNormal="100" workbookViewId="0">
      <selection activeCell="G11" sqref="G11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0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45572</v>
      </c>
      <c r="J6" s="31"/>
    </row>
    <row r="7" spans="2:10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45571</v>
      </c>
      <c r="J7" s="31"/>
    </row>
    <row r="8" spans="2:10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33" t="s">
        <v>36</v>
      </c>
      <c r="D11" s="33"/>
      <c r="E11" s="33"/>
      <c r="F11" s="5">
        <v>1</v>
      </c>
      <c r="G11" s="19">
        <f>265.75*13</f>
        <v>3454.75</v>
      </c>
      <c r="H11" s="4" t="s">
        <v>24</v>
      </c>
      <c r="I11" s="12">
        <v>195</v>
      </c>
      <c r="J11" s="18">
        <f>F11*I11*G11</f>
        <v>673676.25</v>
      </c>
    </row>
    <row r="12" spans="2:10" ht="33.9" customHeight="1" x14ac:dyDescent="0.3">
      <c r="B12" s="4">
        <v>2</v>
      </c>
      <c r="C12" s="33" t="s">
        <v>35</v>
      </c>
      <c r="D12" s="33"/>
      <c r="E12" s="33"/>
      <c r="F12" s="5">
        <v>1</v>
      </c>
      <c r="G12" s="19">
        <v>3505</v>
      </c>
      <c r="H12" s="4" t="s">
        <v>24</v>
      </c>
      <c r="I12" s="12">
        <v>195</v>
      </c>
      <c r="J12" s="18">
        <f>F12*I12*G12</f>
        <v>683475</v>
      </c>
    </row>
    <row r="13" spans="2:10" ht="33.9" customHeight="1" x14ac:dyDescent="0.3">
      <c r="B13" s="4">
        <v>3</v>
      </c>
      <c r="C13" s="33" t="s">
        <v>31</v>
      </c>
      <c r="D13" s="33"/>
      <c r="E13" s="33"/>
      <c r="F13" s="5">
        <v>1</v>
      </c>
      <c r="G13" s="11">
        <v>170</v>
      </c>
      <c r="H13" s="4" t="s">
        <v>24</v>
      </c>
      <c r="I13" s="12">
        <v>195</v>
      </c>
      <c r="J13" s="18">
        <f>F13*I13*G13</f>
        <v>33150</v>
      </c>
    </row>
    <row r="14" spans="2:10" ht="33.9" customHeight="1" x14ac:dyDescent="0.3">
      <c r="B14" s="4">
        <v>4</v>
      </c>
      <c r="C14" s="33" t="s">
        <v>37</v>
      </c>
      <c r="D14" s="33"/>
      <c r="E14" s="33"/>
      <c r="F14" s="5">
        <v>1</v>
      </c>
      <c r="G14" s="19">
        <f>30.08*13</f>
        <v>391.03999999999996</v>
      </c>
      <c r="H14" s="4" t="s">
        <v>24</v>
      </c>
      <c r="I14" s="12">
        <v>250</v>
      </c>
      <c r="J14" s="18">
        <f>F14*I14*G14</f>
        <v>97759.999999999985</v>
      </c>
    </row>
    <row r="15" spans="2:10" ht="33.9" customHeight="1" x14ac:dyDescent="0.3">
      <c r="B15" s="4">
        <v>5</v>
      </c>
      <c r="C15" s="33" t="s">
        <v>38</v>
      </c>
      <c r="D15" s="33"/>
      <c r="E15" s="33"/>
      <c r="F15" s="5">
        <v>1</v>
      </c>
      <c r="G15" s="11">
        <f>23.75*13</f>
        <v>308.75</v>
      </c>
      <c r="H15" s="4" t="s">
        <v>24</v>
      </c>
      <c r="I15" s="12">
        <v>250</v>
      </c>
      <c r="J15" s="18">
        <f>F15*I15*G15</f>
        <v>77187.5</v>
      </c>
    </row>
    <row r="16" spans="2:10" ht="17.399999999999999" customHeight="1" x14ac:dyDescent="0.35">
      <c r="B16" s="16"/>
      <c r="C16" s="28" t="s">
        <v>18</v>
      </c>
      <c r="D16" s="28"/>
      <c r="E16" s="28"/>
      <c r="F16" s="28"/>
      <c r="G16" s="28"/>
      <c r="H16" s="28"/>
      <c r="I16" s="28"/>
      <c r="J16" s="20">
        <f>SUM(J11:J15)</f>
        <v>1565248.75</v>
      </c>
    </row>
    <row r="17" spans="2:12" ht="17.399999999999999" customHeight="1" x14ac:dyDescent="0.35">
      <c r="B17" s="16"/>
      <c r="C17" s="26" t="s">
        <v>23</v>
      </c>
      <c r="D17" s="26"/>
      <c r="E17" s="26"/>
      <c r="F17" s="26"/>
      <c r="G17" s="26"/>
      <c r="H17" s="26"/>
      <c r="I17" s="26"/>
      <c r="J17" s="6">
        <v>0</v>
      </c>
    </row>
    <row r="18" spans="2:12" ht="17.399999999999999" customHeight="1" x14ac:dyDescent="0.35">
      <c r="B18" s="16"/>
      <c r="C18" s="26"/>
      <c r="D18" s="26"/>
      <c r="E18" s="26"/>
      <c r="F18" s="26"/>
      <c r="G18" s="26"/>
      <c r="H18" s="26"/>
      <c r="I18" s="26"/>
      <c r="J18" s="6"/>
      <c r="L18" s="17"/>
    </row>
    <row r="19" spans="2:12" ht="17.399999999999999" customHeight="1" x14ac:dyDescent="0.35">
      <c r="B19" s="16"/>
      <c r="C19" s="14"/>
      <c r="D19" s="14"/>
      <c r="E19" s="14"/>
      <c r="F19" s="14"/>
      <c r="G19" s="14"/>
      <c r="H19" s="14"/>
      <c r="I19" s="14"/>
      <c r="J19" s="20">
        <f>J16+J17+J18</f>
        <v>1565248.75</v>
      </c>
    </row>
    <row r="20" spans="2:12" ht="15.5" x14ac:dyDescent="0.35">
      <c r="B20" s="7"/>
      <c r="C20" s="27" t="s">
        <v>39</v>
      </c>
      <c r="D20" s="27"/>
      <c r="E20" s="27"/>
      <c r="F20" s="27"/>
      <c r="G20" s="27"/>
      <c r="H20" s="27"/>
      <c r="I20" s="27"/>
      <c r="J20" s="27"/>
    </row>
    <row r="21" spans="2:12" ht="15.5" x14ac:dyDescent="0.35">
      <c r="B21" s="16"/>
      <c r="C21" s="23" t="s">
        <v>12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20</v>
      </c>
      <c r="D22" s="23"/>
      <c r="E22" s="23"/>
      <c r="F22" s="7"/>
      <c r="G22" s="7"/>
      <c r="H22" s="7"/>
      <c r="I22" s="7"/>
      <c r="J22" s="8">
        <v>0</v>
      </c>
    </row>
    <row r="23" spans="2:12" ht="15.5" x14ac:dyDescent="0.35">
      <c r="B23" s="16"/>
      <c r="C23" s="23" t="s">
        <v>13</v>
      </c>
      <c r="D23" s="23"/>
      <c r="E23" s="23"/>
      <c r="F23" s="7"/>
      <c r="G23" s="7" t="s">
        <v>19</v>
      </c>
      <c r="H23" s="7"/>
      <c r="I23" s="7"/>
      <c r="J23" s="21">
        <f>J19</f>
        <v>1565248.75</v>
      </c>
    </row>
    <row r="24" spans="2:12" ht="15.5" x14ac:dyDescent="0.35">
      <c r="B24" s="7"/>
      <c r="C24" s="23"/>
      <c r="D24" s="23"/>
      <c r="E24" s="23"/>
      <c r="F24" s="7"/>
      <c r="G24" s="7"/>
      <c r="H24" s="7"/>
      <c r="I24" s="7"/>
      <c r="J24" s="7"/>
      <c r="L24" s="10"/>
    </row>
    <row r="25" spans="2:12" x14ac:dyDescent="0.3">
      <c r="B25" s="24" t="s">
        <v>14</v>
      </c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2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30" spans="2:12" ht="14.15" customHeight="1" x14ac:dyDescent="0.3">
      <c r="B30" s="25" t="s">
        <v>15</v>
      </c>
      <c r="C30" s="25"/>
      <c r="D30" s="25"/>
      <c r="E30" s="25"/>
      <c r="F30" s="25"/>
      <c r="G30" s="25"/>
      <c r="H30" s="25"/>
      <c r="I30" s="25"/>
      <c r="J30" s="25"/>
    </row>
    <row r="31" spans="2:12" ht="14.15" customHeight="1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x14ac:dyDescent="0.3">
      <c r="B33" s="25"/>
      <c r="C33" s="25"/>
      <c r="D33" s="25"/>
      <c r="E33" s="25"/>
      <c r="F33" s="25"/>
      <c r="G33" s="25"/>
      <c r="H33" s="25"/>
      <c r="I33" s="25"/>
      <c r="J33" s="25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</sheetData>
  <mergeCells count="31">
    <mergeCell ref="B32:J33"/>
    <mergeCell ref="C15:E15"/>
    <mergeCell ref="C16:I16"/>
    <mergeCell ref="C17:I17"/>
    <mergeCell ref="C18:I18"/>
    <mergeCell ref="C20:J20"/>
    <mergeCell ref="C21:E21"/>
    <mergeCell ref="C22:E22"/>
    <mergeCell ref="C23:E23"/>
    <mergeCell ref="C24:E24"/>
    <mergeCell ref="B25:J27"/>
    <mergeCell ref="B30:J31"/>
    <mergeCell ref="C14:E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6BE0E8-362B-492C-953E-FC43883E079E}">
  <sheetPr>
    <pageSetUpPr fitToPage="1"/>
  </sheetPr>
  <dimension ref="B2:M34"/>
  <sheetViews>
    <sheetView zoomScaleNormal="100" workbookViewId="0">
      <selection activeCell="L13" sqref="L1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3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3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3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3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3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45572</v>
      </c>
      <c r="J6" s="31"/>
    </row>
    <row r="7" spans="2:13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45571</v>
      </c>
      <c r="J7" s="31"/>
    </row>
    <row r="8" spans="2:13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3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3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3" ht="33.9" customHeight="1" x14ac:dyDescent="0.3">
      <c r="B11" s="4">
        <v>1</v>
      </c>
      <c r="C11" s="33" t="s">
        <v>40</v>
      </c>
      <c r="D11" s="33"/>
      <c r="E11" s="33"/>
      <c r="F11" s="5">
        <v>1</v>
      </c>
      <c r="G11" s="19">
        <f>462+41.25</f>
        <v>503.25</v>
      </c>
      <c r="H11" s="4" t="s">
        <v>24</v>
      </c>
      <c r="I11" s="12">
        <v>195</v>
      </c>
      <c r="J11" s="18">
        <f>F11*I11*G11</f>
        <v>98133.75</v>
      </c>
    </row>
    <row r="12" spans="2:13" ht="33.9" customHeight="1" x14ac:dyDescent="0.3">
      <c r="B12" s="4">
        <v>2</v>
      </c>
      <c r="C12" s="33" t="s">
        <v>41</v>
      </c>
      <c r="D12" s="33"/>
      <c r="E12" s="33"/>
      <c r="F12" s="5">
        <v>1</v>
      </c>
      <c r="G12" s="19">
        <f>147.87+169</f>
        <v>316.87</v>
      </c>
      <c r="H12" s="4" t="s">
        <v>24</v>
      </c>
      <c r="I12" s="12">
        <v>300</v>
      </c>
      <c r="J12" s="18">
        <f>F12*I12*G12</f>
        <v>95061</v>
      </c>
    </row>
    <row r="13" spans="2:13" ht="33.9" customHeight="1" x14ac:dyDescent="0.3">
      <c r="B13" s="4">
        <v>3</v>
      </c>
      <c r="C13" s="33" t="s">
        <v>42</v>
      </c>
      <c r="D13" s="33"/>
      <c r="E13" s="33"/>
      <c r="F13" s="5">
        <v>1</v>
      </c>
      <c r="G13" s="11">
        <f>423.5+82.5</f>
        <v>506</v>
      </c>
      <c r="H13" s="4" t="s">
        <v>24</v>
      </c>
      <c r="I13" s="12">
        <v>195</v>
      </c>
      <c r="J13" s="18">
        <f>F13*I13*G13</f>
        <v>98670</v>
      </c>
      <c r="L13" s="22">
        <f>'1'!J16+'2'!J16+'3'!J15</f>
        <v>3536412.875</v>
      </c>
      <c r="M13" s="17"/>
    </row>
    <row r="14" spans="2:13" ht="33.9" customHeight="1" x14ac:dyDescent="0.3">
      <c r="B14" s="4">
        <v>4</v>
      </c>
      <c r="C14" s="33" t="s">
        <v>43</v>
      </c>
      <c r="D14" s="33"/>
      <c r="E14" s="33"/>
      <c r="F14" s="5">
        <v>1</v>
      </c>
      <c r="G14" s="19">
        <f>232.375+147.875</f>
        <v>380.25</v>
      </c>
      <c r="H14" s="4" t="s">
        <v>24</v>
      </c>
      <c r="I14" s="12">
        <v>300</v>
      </c>
      <c r="J14" s="18">
        <f>F14*I14*G14</f>
        <v>114075</v>
      </c>
      <c r="L14" s="22"/>
    </row>
    <row r="15" spans="2:13" ht="17.399999999999999" customHeight="1" x14ac:dyDescent="0.35">
      <c r="B15" s="16"/>
      <c r="C15" s="28" t="s">
        <v>18</v>
      </c>
      <c r="D15" s="28"/>
      <c r="E15" s="28"/>
      <c r="F15" s="28"/>
      <c r="G15" s="28"/>
      <c r="H15" s="28"/>
      <c r="I15" s="28"/>
      <c r="J15" s="20">
        <f>SUM(J11:J14)</f>
        <v>405939.75</v>
      </c>
    </row>
    <row r="16" spans="2:13" ht="17.399999999999999" customHeight="1" x14ac:dyDescent="0.35">
      <c r="B16" s="16"/>
      <c r="C16" s="26" t="s">
        <v>23</v>
      </c>
      <c r="D16" s="26"/>
      <c r="E16" s="26"/>
      <c r="F16" s="26"/>
      <c r="G16" s="26"/>
      <c r="H16" s="26"/>
      <c r="I16" s="26"/>
      <c r="J16" s="6">
        <v>0</v>
      </c>
    </row>
    <row r="17" spans="2:12" ht="17.399999999999999" customHeight="1" x14ac:dyDescent="0.35">
      <c r="B17" s="16"/>
      <c r="C17" s="26"/>
      <c r="D17" s="26"/>
      <c r="E17" s="26"/>
      <c r="F17" s="26"/>
      <c r="G17" s="26"/>
      <c r="H17" s="26"/>
      <c r="I17" s="26"/>
      <c r="J17" s="6"/>
      <c r="L17" s="17"/>
    </row>
    <row r="18" spans="2:12" ht="17.399999999999999" customHeight="1" x14ac:dyDescent="0.35">
      <c r="B18" s="16"/>
      <c r="C18" s="14"/>
      <c r="D18" s="14"/>
      <c r="E18" s="14"/>
      <c r="F18" s="14"/>
      <c r="G18" s="14"/>
      <c r="H18" s="14"/>
      <c r="I18" s="14"/>
      <c r="J18" s="20">
        <f>J15+J16+J17</f>
        <v>405939.75</v>
      </c>
    </row>
    <row r="19" spans="2:12" ht="15.5" x14ac:dyDescent="0.35">
      <c r="B19" s="7"/>
      <c r="C19" s="27" t="s">
        <v>44</v>
      </c>
      <c r="D19" s="27"/>
      <c r="E19" s="27"/>
      <c r="F19" s="27"/>
      <c r="G19" s="27"/>
      <c r="H19" s="27"/>
      <c r="I19" s="27"/>
      <c r="J19" s="27"/>
    </row>
    <row r="20" spans="2:12" ht="15.5" x14ac:dyDescent="0.35">
      <c r="B20" s="16"/>
      <c r="C20" s="23" t="s">
        <v>12</v>
      </c>
      <c r="D20" s="23"/>
      <c r="E20" s="23"/>
      <c r="F20" s="7"/>
      <c r="G20" s="7"/>
      <c r="H20" s="7"/>
      <c r="I20" s="7"/>
      <c r="J20" s="8">
        <v>0</v>
      </c>
    </row>
    <row r="21" spans="2:12" ht="15.5" x14ac:dyDescent="0.35">
      <c r="B21" s="16"/>
      <c r="C21" s="23" t="s">
        <v>20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13</v>
      </c>
      <c r="D22" s="23"/>
      <c r="E22" s="23"/>
      <c r="F22" s="7"/>
      <c r="G22" s="7" t="s">
        <v>19</v>
      </c>
      <c r="H22" s="7"/>
      <c r="I22" s="7"/>
      <c r="J22" s="21">
        <f>J18</f>
        <v>405939.75</v>
      </c>
    </row>
    <row r="23" spans="2:12" ht="15.5" x14ac:dyDescent="0.35">
      <c r="B23" s="7"/>
      <c r="C23" s="23"/>
      <c r="D23" s="23"/>
      <c r="E23" s="23"/>
      <c r="F23" s="7"/>
      <c r="G23" s="7"/>
      <c r="H23" s="7"/>
      <c r="I23" s="7"/>
      <c r="J23" s="7"/>
      <c r="L23" s="10"/>
    </row>
    <row r="24" spans="2:12" x14ac:dyDescent="0.3">
      <c r="B24" s="24" t="s">
        <v>14</v>
      </c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9" spans="2:12" ht="14.15" customHeight="1" x14ac:dyDescent="0.3">
      <c r="B29" s="25" t="s">
        <v>15</v>
      </c>
      <c r="C29" s="25"/>
      <c r="D29" s="25"/>
      <c r="E29" s="25"/>
      <c r="F29" s="25"/>
      <c r="G29" s="25"/>
      <c r="H29" s="25"/>
      <c r="I29" s="25"/>
      <c r="J29" s="25"/>
    </row>
    <row r="30" spans="2:12" ht="14.15" customHeight="1" x14ac:dyDescent="0.3">
      <c r="B30" s="25"/>
      <c r="C30" s="25"/>
      <c r="D30" s="25"/>
      <c r="E30" s="25"/>
      <c r="F30" s="25"/>
      <c r="G30" s="25"/>
      <c r="H30" s="25"/>
      <c r="I30" s="25"/>
      <c r="J30" s="25"/>
    </row>
    <row r="31" spans="2:12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ht="15.5" x14ac:dyDescent="0.35">
      <c r="B33" s="7"/>
      <c r="C33" s="7"/>
      <c r="D33" s="7"/>
      <c r="E33" s="7"/>
      <c r="F33" s="7"/>
      <c r="G33" s="7"/>
      <c r="H33" s="7"/>
      <c r="I33" s="7"/>
      <c r="J33" s="7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</sheetData>
  <mergeCells count="30">
    <mergeCell ref="B31:J32"/>
    <mergeCell ref="C15:I15"/>
    <mergeCell ref="C16:I16"/>
    <mergeCell ref="C17:I17"/>
    <mergeCell ref="C19:J19"/>
    <mergeCell ref="C20:E20"/>
    <mergeCell ref="C21:E21"/>
    <mergeCell ref="C22:E22"/>
    <mergeCell ref="C23:E23"/>
    <mergeCell ref="B24:J26"/>
    <mergeCell ref="B29:J30"/>
    <mergeCell ref="C14:E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CD958-A1B8-4B6D-B360-581023CE13A3}">
  <sheetPr>
    <pageSetUpPr fitToPage="1"/>
  </sheetPr>
  <dimension ref="B2:M35"/>
  <sheetViews>
    <sheetView topLeftCell="A2" zoomScaleNormal="100" workbookViewId="0">
      <selection activeCell="B2" sqref="B2:J3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3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3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3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3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3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45770</v>
      </c>
      <c r="J6" s="31"/>
    </row>
    <row r="7" spans="2:13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45765</v>
      </c>
      <c r="J7" s="31"/>
    </row>
    <row r="8" spans="2:13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3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3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3" ht="33.9" customHeight="1" x14ac:dyDescent="0.3">
      <c r="B11" s="4">
        <v>1</v>
      </c>
      <c r="C11" s="33" t="s">
        <v>45</v>
      </c>
      <c r="D11" s="33"/>
      <c r="E11" s="33"/>
      <c r="F11" s="5">
        <v>1</v>
      </c>
      <c r="G11" s="19">
        <f>21+15.75+17.5</f>
        <v>54.25</v>
      </c>
      <c r="H11" s="4" t="s">
        <v>24</v>
      </c>
      <c r="I11" s="12">
        <v>400</v>
      </c>
      <c r="J11" s="18">
        <f>F11*I11*G11</f>
        <v>21700</v>
      </c>
    </row>
    <row r="12" spans="2:13" ht="33.9" customHeight="1" x14ac:dyDescent="0.3">
      <c r="B12" s="4">
        <v>2</v>
      </c>
      <c r="C12" s="33" t="s">
        <v>49</v>
      </c>
      <c r="D12" s="33"/>
      <c r="E12" s="33"/>
      <c r="F12" s="5">
        <v>1</v>
      </c>
      <c r="G12" s="19">
        <f>16.5+13.5+30.875</f>
        <v>60.875</v>
      </c>
      <c r="H12" s="4" t="s">
        <v>24</v>
      </c>
      <c r="I12" s="12">
        <v>400</v>
      </c>
      <c r="J12" s="18">
        <f>F12*I12*G12</f>
        <v>24350</v>
      </c>
    </row>
    <row r="13" spans="2:13" ht="33.9" customHeight="1" x14ac:dyDescent="0.3">
      <c r="B13" s="4">
        <v>3</v>
      </c>
      <c r="C13" s="33" t="s">
        <v>48</v>
      </c>
      <c r="D13" s="33"/>
      <c r="E13" s="33"/>
      <c r="F13" s="5">
        <v>1</v>
      </c>
      <c r="G13" s="11">
        <v>15.625</v>
      </c>
      <c r="H13" s="4" t="s">
        <v>24</v>
      </c>
      <c r="I13" s="12">
        <v>400</v>
      </c>
      <c r="J13" s="18">
        <f>F13*I13*G13</f>
        <v>6250</v>
      </c>
      <c r="L13" s="22">
        <f>'1'!J16+'2'!J16+'4'!J16</f>
        <v>3236623.125</v>
      </c>
      <c r="M13" s="17"/>
    </row>
    <row r="14" spans="2:13" ht="33.9" customHeight="1" x14ac:dyDescent="0.3">
      <c r="B14" s="4">
        <v>4</v>
      </c>
      <c r="C14" s="33" t="s">
        <v>47</v>
      </c>
      <c r="D14" s="33"/>
      <c r="E14" s="33"/>
      <c r="F14" s="5">
        <v>1</v>
      </c>
      <c r="G14" s="19">
        <f>15+13.5+37.375</f>
        <v>65.875</v>
      </c>
      <c r="H14" s="4" t="s">
        <v>24</v>
      </c>
      <c r="I14" s="12">
        <v>400</v>
      </c>
      <c r="J14" s="18">
        <f>F14*I14*G14</f>
        <v>26350</v>
      </c>
      <c r="L14" s="22"/>
    </row>
    <row r="15" spans="2:13" ht="33.9" customHeight="1" x14ac:dyDescent="0.3">
      <c r="B15" s="4">
        <v>5</v>
      </c>
      <c r="C15" s="33" t="s">
        <v>46</v>
      </c>
      <c r="D15" s="33"/>
      <c r="E15" s="33"/>
      <c r="F15" s="5">
        <v>1</v>
      </c>
      <c r="G15" s="19">
        <f>18+15+35.75</f>
        <v>68.75</v>
      </c>
      <c r="H15" s="4" t="s">
        <v>24</v>
      </c>
      <c r="I15" s="12">
        <v>400</v>
      </c>
      <c r="J15" s="18">
        <f>F15*I15*G15</f>
        <v>27500</v>
      </c>
      <c r="L15" s="22"/>
    </row>
    <row r="16" spans="2:13" ht="17.399999999999999" customHeight="1" x14ac:dyDescent="0.35">
      <c r="B16" s="16"/>
      <c r="C16" s="28" t="s">
        <v>18</v>
      </c>
      <c r="D16" s="28"/>
      <c r="E16" s="28"/>
      <c r="F16" s="28"/>
      <c r="G16" s="28"/>
      <c r="H16" s="28"/>
      <c r="I16" s="28"/>
      <c r="J16" s="20">
        <f>SUM(J11:J15)</f>
        <v>106150</v>
      </c>
    </row>
    <row r="17" spans="2:12" ht="17.399999999999999" customHeight="1" x14ac:dyDescent="0.35">
      <c r="B17" s="16"/>
      <c r="C17" s="26" t="s">
        <v>23</v>
      </c>
      <c r="D17" s="26"/>
      <c r="E17" s="26"/>
      <c r="F17" s="26"/>
      <c r="G17" s="26"/>
      <c r="H17" s="26"/>
      <c r="I17" s="26"/>
      <c r="J17" s="6">
        <v>0</v>
      </c>
    </row>
    <row r="18" spans="2:12" ht="17.399999999999999" customHeight="1" x14ac:dyDescent="0.35">
      <c r="B18" s="16"/>
      <c r="C18" s="26"/>
      <c r="D18" s="26"/>
      <c r="E18" s="26"/>
      <c r="F18" s="26"/>
      <c r="G18" s="26"/>
      <c r="H18" s="26"/>
      <c r="I18" s="26"/>
      <c r="J18" s="6"/>
      <c r="L18" s="17"/>
    </row>
    <row r="19" spans="2:12" ht="17.399999999999999" customHeight="1" x14ac:dyDescent="0.35">
      <c r="B19" s="16"/>
      <c r="C19" s="14"/>
      <c r="D19" s="14"/>
      <c r="E19" s="14"/>
      <c r="F19" s="14"/>
      <c r="G19" s="14"/>
      <c r="H19" s="14"/>
      <c r="I19" s="14"/>
      <c r="J19" s="20">
        <f>J16+J17+J18</f>
        <v>106150</v>
      </c>
    </row>
    <row r="20" spans="2:12" ht="15.5" x14ac:dyDescent="0.35">
      <c r="B20" s="7"/>
      <c r="C20" s="27" t="s">
        <v>50</v>
      </c>
      <c r="D20" s="27"/>
      <c r="E20" s="27"/>
      <c r="F20" s="27"/>
      <c r="G20" s="27"/>
      <c r="H20" s="27"/>
      <c r="I20" s="27"/>
      <c r="J20" s="27"/>
    </row>
    <row r="21" spans="2:12" ht="15.5" x14ac:dyDescent="0.35">
      <c r="B21" s="16"/>
      <c r="C21" s="23" t="s">
        <v>12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20</v>
      </c>
      <c r="D22" s="23"/>
      <c r="E22" s="23"/>
      <c r="F22" s="7"/>
      <c r="G22" s="7"/>
      <c r="H22" s="7"/>
      <c r="I22" s="7"/>
      <c r="J22" s="8">
        <v>0</v>
      </c>
    </row>
    <row r="23" spans="2:12" ht="15.5" x14ac:dyDescent="0.35">
      <c r="B23" s="16"/>
      <c r="C23" s="23" t="s">
        <v>13</v>
      </c>
      <c r="D23" s="23"/>
      <c r="E23" s="23"/>
      <c r="F23" s="7"/>
      <c r="G23" s="7" t="s">
        <v>19</v>
      </c>
      <c r="H23" s="7"/>
      <c r="I23" s="7"/>
      <c r="J23" s="21">
        <f>J19</f>
        <v>106150</v>
      </c>
    </row>
    <row r="24" spans="2:12" ht="15.5" x14ac:dyDescent="0.35">
      <c r="B24" s="7"/>
      <c r="C24" s="23"/>
      <c r="D24" s="23"/>
      <c r="E24" s="23"/>
      <c r="F24" s="7"/>
      <c r="G24" s="7"/>
      <c r="H24" s="7"/>
      <c r="I24" s="7"/>
      <c r="J24" s="7"/>
      <c r="L24" s="10"/>
    </row>
    <row r="25" spans="2:12" x14ac:dyDescent="0.3">
      <c r="B25" s="24" t="s">
        <v>14</v>
      </c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2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30" spans="2:12" ht="14.15" customHeight="1" x14ac:dyDescent="0.3">
      <c r="B30" s="25" t="s">
        <v>15</v>
      </c>
      <c r="C30" s="25"/>
      <c r="D30" s="25"/>
      <c r="E30" s="25"/>
      <c r="F30" s="25"/>
      <c r="G30" s="25"/>
      <c r="H30" s="25"/>
      <c r="I30" s="25"/>
      <c r="J30" s="25"/>
    </row>
    <row r="31" spans="2:12" ht="14.15" customHeight="1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x14ac:dyDescent="0.3">
      <c r="B33" s="25"/>
      <c r="C33" s="25"/>
      <c r="D33" s="25"/>
      <c r="E33" s="25"/>
      <c r="F33" s="25"/>
      <c r="G33" s="25"/>
      <c r="H33" s="25"/>
      <c r="I33" s="25"/>
      <c r="J33" s="25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</sheetData>
  <mergeCells count="31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C21:E21"/>
    <mergeCell ref="C22:E22"/>
    <mergeCell ref="B9:J9"/>
    <mergeCell ref="C10:E10"/>
    <mergeCell ref="C11:E11"/>
    <mergeCell ref="C12:E12"/>
    <mergeCell ref="C13:E13"/>
    <mergeCell ref="C15:E15"/>
    <mergeCell ref="C14:E14"/>
    <mergeCell ref="C16:I16"/>
    <mergeCell ref="C17:I17"/>
    <mergeCell ref="C18:I18"/>
    <mergeCell ref="C20:J20"/>
    <mergeCell ref="C23:E23"/>
    <mergeCell ref="C24:E24"/>
    <mergeCell ref="B25:J27"/>
    <mergeCell ref="B30:J31"/>
    <mergeCell ref="B32:J33"/>
  </mergeCells>
  <pageMargins left="0.7" right="0.7" top="0.75" bottom="0.75" header="0.3" footer="0.3"/>
  <pageSetup paperSize="9" scale="60" orientation="portrait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9E41E-43FF-47FE-954C-727D555DAC01}">
  <sheetPr>
    <pageSetUpPr fitToPage="1"/>
  </sheetPr>
  <dimension ref="B2:L31"/>
  <sheetViews>
    <sheetView topLeftCell="A4" zoomScaleNormal="100" workbookViewId="0">
      <selection activeCell="B2" sqref="B2:J29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2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2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2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2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2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45770</v>
      </c>
      <c r="J6" s="31"/>
    </row>
    <row r="7" spans="2:12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45765</v>
      </c>
      <c r="J7" s="31"/>
    </row>
    <row r="8" spans="2:12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2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2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2" ht="33.9" customHeight="1" x14ac:dyDescent="0.3">
      <c r="B11" s="4">
        <v>1</v>
      </c>
      <c r="C11" s="33" t="s">
        <v>51</v>
      </c>
      <c r="D11" s="33"/>
      <c r="E11" s="33"/>
      <c r="F11" s="5">
        <v>1</v>
      </c>
      <c r="G11" s="19">
        <f>195+173.33+20.25+24+9+8.25+11.25+12.25+173.33+238.33+20.25+24+9+9+11.25+12.1875</f>
        <v>950.67750000000012</v>
      </c>
      <c r="H11" s="4" t="s">
        <v>24</v>
      </c>
      <c r="I11" s="12">
        <v>300</v>
      </c>
      <c r="J11" s="18">
        <f>F11*I11*G11</f>
        <v>285203.25000000006</v>
      </c>
    </row>
    <row r="12" spans="2:12" ht="17.399999999999999" customHeight="1" x14ac:dyDescent="0.35">
      <c r="B12" s="16"/>
      <c r="C12" s="28" t="s">
        <v>18</v>
      </c>
      <c r="D12" s="28"/>
      <c r="E12" s="28"/>
      <c r="F12" s="28"/>
      <c r="G12" s="28"/>
      <c r="H12" s="28"/>
      <c r="I12" s="28"/>
      <c r="J12" s="20">
        <f>SUM(J11:J11)</f>
        <v>285203.25000000006</v>
      </c>
    </row>
    <row r="13" spans="2:12" ht="17.399999999999999" customHeight="1" x14ac:dyDescent="0.35">
      <c r="B13" s="16"/>
      <c r="C13" s="26" t="s">
        <v>23</v>
      </c>
      <c r="D13" s="26"/>
      <c r="E13" s="26"/>
      <c r="F13" s="26"/>
      <c r="G13" s="26"/>
      <c r="H13" s="26"/>
      <c r="I13" s="26"/>
      <c r="J13" s="6">
        <v>0</v>
      </c>
    </row>
    <row r="14" spans="2:12" ht="17.399999999999999" customHeight="1" x14ac:dyDescent="0.35">
      <c r="B14" s="16"/>
      <c r="C14" s="26"/>
      <c r="D14" s="26"/>
      <c r="E14" s="26"/>
      <c r="F14" s="26"/>
      <c r="G14" s="26"/>
      <c r="H14" s="26"/>
      <c r="I14" s="26"/>
      <c r="J14" s="6"/>
      <c r="L14" s="17"/>
    </row>
    <row r="15" spans="2:12" ht="17.399999999999999" customHeight="1" x14ac:dyDescent="0.35">
      <c r="B15" s="16"/>
      <c r="C15" s="14"/>
      <c r="D15" s="14"/>
      <c r="E15" s="14"/>
      <c r="F15" s="14"/>
      <c r="G15" s="14"/>
      <c r="H15" s="14"/>
      <c r="I15" s="14"/>
      <c r="J15" s="20">
        <f>J12+J13+J14</f>
        <v>285203.25000000006</v>
      </c>
    </row>
    <row r="16" spans="2:12" ht="15.5" x14ac:dyDescent="0.35">
      <c r="B16" s="7"/>
      <c r="C16" s="27" t="s">
        <v>52</v>
      </c>
      <c r="D16" s="27"/>
      <c r="E16" s="27"/>
      <c r="F16" s="27"/>
      <c r="G16" s="27"/>
      <c r="H16" s="27"/>
      <c r="I16" s="27"/>
      <c r="J16" s="27"/>
    </row>
    <row r="17" spans="2:12" ht="15.5" x14ac:dyDescent="0.35">
      <c r="B17" s="16"/>
      <c r="C17" s="23" t="s">
        <v>12</v>
      </c>
      <c r="D17" s="23"/>
      <c r="E17" s="23"/>
      <c r="F17" s="7"/>
      <c r="G17" s="7"/>
      <c r="H17" s="7"/>
      <c r="I17" s="7"/>
      <c r="J17" s="8">
        <v>0</v>
      </c>
    </row>
    <row r="18" spans="2:12" ht="15.5" x14ac:dyDescent="0.35">
      <c r="B18" s="16"/>
      <c r="C18" s="23" t="s">
        <v>20</v>
      </c>
      <c r="D18" s="23"/>
      <c r="E18" s="23"/>
      <c r="F18" s="7"/>
      <c r="G18" s="7"/>
      <c r="H18" s="7"/>
      <c r="I18" s="7"/>
      <c r="J18" s="8">
        <v>0</v>
      </c>
    </row>
    <row r="19" spans="2:12" ht="15.5" x14ac:dyDescent="0.35">
      <c r="B19" s="16"/>
      <c r="C19" s="23" t="s">
        <v>13</v>
      </c>
      <c r="D19" s="23"/>
      <c r="E19" s="23"/>
      <c r="F19" s="7"/>
      <c r="G19" s="7" t="s">
        <v>19</v>
      </c>
      <c r="H19" s="7"/>
      <c r="I19" s="7"/>
      <c r="J19" s="21">
        <f>J15</f>
        <v>285203.25000000006</v>
      </c>
    </row>
    <row r="20" spans="2:12" ht="15.5" x14ac:dyDescent="0.35">
      <c r="B20" s="7"/>
      <c r="C20" s="23"/>
      <c r="D20" s="23"/>
      <c r="E20" s="23"/>
      <c r="F20" s="7"/>
      <c r="G20" s="7"/>
      <c r="H20" s="7"/>
      <c r="I20" s="7"/>
      <c r="J20" s="7"/>
      <c r="L20" s="10"/>
    </row>
    <row r="21" spans="2:12" x14ac:dyDescent="0.3">
      <c r="B21" s="24" t="s">
        <v>14</v>
      </c>
      <c r="C21" s="24"/>
      <c r="D21" s="24"/>
      <c r="E21" s="24"/>
      <c r="F21" s="24"/>
      <c r="G21" s="24"/>
      <c r="H21" s="24"/>
      <c r="I21" s="24"/>
      <c r="J21" s="24"/>
    </row>
    <row r="22" spans="2:12" x14ac:dyDescent="0.3">
      <c r="B22" s="24"/>
      <c r="C22" s="24"/>
      <c r="D22" s="24"/>
      <c r="E22" s="24"/>
      <c r="F22" s="24"/>
      <c r="G22" s="24"/>
      <c r="H22" s="24"/>
      <c r="I22" s="24"/>
      <c r="J22" s="24"/>
    </row>
    <row r="23" spans="2:12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6" spans="2:12" ht="14.15" customHeight="1" x14ac:dyDescent="0.3">
      <c r="B26" s="25" t="s">
        <v>15</v>
      </c>
      <c r="C26" s="25"/>
      <c r="D26" s="25"/>
      <c r="E26" s="25"/>
      <c r="F26" s="25"/>
      <c r="G26" s="25"/>
      <c r="H26" s="25"/>
      <c r="I26" s="25"/>
      <c r="J26" s="25"/>
    </row>
    <row r="27" spans="2:12" ht="14.15" customHeight="1" x14ac:dyDescent="0.3">
      <c r="B27" s="25"/>
      <c r="C27" s="25"/>
      <c r="D27" s="25"/>
      <c r="E27" s="25"/>
      <c r="F27" s="25"/>
      <c r="G27" s="25"/>
      <c r="H27" s="25"/>
      <c r="I27" s="25"/>
      <c r="J27" s="25"/>
    </row>
    <row r="28" spans="2:12" x14ac:dyDescent="0.3">
      <c r="B28" s="25"/>
      <c r="C28" s="25"/>
      <c r="D28" s="25"/>
      <c r="E28" s="25"/>
      <c r="F28" s="25"/>
      <c r="G28" s="25"/>
      <c r="H28" s="25"/>
      <c r="I28" s="25"/>
      <c r="J28" s="25"/>
    </row>
    <row r="29" spans="2:12" x14ac:dyDescent="0.3">
      <c r="B29" s="25"/>
      <c r="C29" s="25"/>
      <c r="D29" s="25"/>
      <c r="E29" s="25"/>
      <c r="F29" s="25"/>
      <c r="G29" s="25"/>
      <c r="H29" s="25"/>
      <c r="I29" s="25"/>
      <c r="J29" s="25"/>
    </row>
    <row r="30" spans="2:12" ht="15.5" x14ac:dyDescent="0.35">
      <c r="B30" s="7"/>
      <c r="C30" s="7"/>
      <c r="D30" s="7"/>
      <c r="E30" s="7"/>
      <c r="F30" s="7"/>
      <c r="G30" s="7"/>
      <c r="H30" s="7"/>
      <c r="I30" s="7"/>
      <c r="J30" s="7"/>
    </row>
    <row r="31" spans="2:12" ht="15.5" x14ac:dyDescent="0.35">
      <c r="B31" s="7"/>
      <c r="C31" s="7"/>
      <c r="D31" s="7"/>
      <c r="E31" s="7"/>
      <c r="F31" s="7"/>
      <c r="G31" s="7"/>
      <c r="H31" s="7"/>
      <c r="I31" s="7"/>
      <c r="J31" s="7"/>
    </row>
  </sheetData>
  <mergeCells count="27">
    <mergeCell ref="B2:J2"/>
    <mergeCell ref="B4:C4"/>
    <mergeCell ref="D4:G4"/>
    <mergeCell ref="H4:I4"/>
    <mergeCell ref="B5:C5"/>
    <mergeCell ref="D5:J5"/>
    <mergeCell ref="B9:J9"/>
    <mergeCell ref="C10:E10"/>
    <mergeCell ref="C11:E11"/>
    <mergeCell ref="B6:G6"/>
    <mergeCell ref="I6:J6"/>
    <mergeCell ref="B7:C7"/>
    <mergeCell ref="D7:G7"/>
    <mergeCell ref="I7:J7"/>
    <mergeCell ref="B8:C8"/>
    <mergeCell ref="D8:J8"/>
    <mergeCell ref="B28:J29"/>
    <mergeCell ref="C12:I12"/>
    <mergeCell ref="C13:I13"/>
    <mergeCell ref="C14:I14"/>
    <mergeCell ref="C16:J16"/>
    <mergeCell ref="C17:E17"/>
    <mergeCell ref="C18:E18"/>
    <mergeCell ref="C19:E19"/>
    <mergeCell ref="C20:E20"/>
    <mergeCell ref="B21:J23"/>
    <mergeCell ref="B26:J27"/>
  </mergeCells>
  <pageMargins left="0.7" right="0.7" top="0.75" bottom="0.75" header="0.3" footer="0.3"/>
  <pageSetup paperSize="9" scale="70" orientation="portrait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EB91A-2256-4A2F-A439-39240A4930C7}">
  <sheetPr>
    <pageSetUpPr fitToPage="1"/>
  </sheetPr>
  <dimension ref="B2:L32"/>
  <sheetViews>
    <sheetView topLeftCell="A6" zoomScaleNormal="100" workbookViewId="0">
      <selection activeCell="B2" sqref="B2:J30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2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2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2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2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2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45770</v>
      </c>
      <c r="J6" s="31"/>
    </row>
    <row r="7" spans="2:12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45765</v>
      </c>
      <c r="J7" s="31"/>
    </row>
    <row r="8" spans="2:12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2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2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2" ht="33.9" customHeight="1" x14ac:dyDescent="0.3">
      <c r="B11" s="4">
        <v>1</v>
      </c>
      <c r="C11" s="33" t="s">
        <v>53</v>
      </c>
      <c r="D11" s="33"/>
      <c r="E11" s="33"/>
      <c r="F11" s="5">
        <v>1</v>
      </c>
      <c r="G11" s="19">
        <f>19.47+19.25+17.5+19.7+21.5+19.25+19.25+19.7+8+16.875+15.625+15.625+15.625+16+15.625+16.25+16.25+16.25+15.625+15.625+15.625+15.625</f>
        <v>370.245</v>
      </c>
      <c r="H11" s="4" t="s">
        <v>24</v>
      </c>
      <c r="I11" s="12">
        <v>300</v>
      </c>
      <c r="J11" s="18">
        <f>F11*I11*G11</f>
        <v>111073.5</v>
      </c>
    </row>
    <row r="12" spans="2:12" ht="33.9" customHeight="1" x14ac:dyDescent="0.3">
      <c r="B12" s="4">
        <v>2</v>
      </c>
      <c r="C12" s="33" t="s">
        <v>54</v>
      </c>
      <c r="D12" s="33"/>
      <c r="E12" s="33"/>
      <c r="F12" s="5">
        <v>1</v>
      </c>
      <c r="G12" s="19">
        <v>2</v>
      </c>
      <c r="H12" s="4" t="s">
        <v>55</v>
      </c>
      <c r="I12" s="12">
        <v>663</v>
      </c>
      <c r="J12" s="18">
        <f>F12*I12*G12</f>
        <v>1326</v>
      </c>
    </row>
    <row r="13" spans="2:12" ht="17.399999999999999" customHeight="1" x14ac:dyDescent="0.35">
      <c r="B13" s="16"/>
      <c r="C13" s="28" t="s">
        <v>18</v>
      </c>
      <c r="D13" s="28"/>
      <c r="E13" s="28"/>
      <c r="F13" s="28"/>
      <c r="G13" s="28"/>
      <c r="H13" s="28"/>
      <c r="I13" s="28"/>
      <c r="J13" s="20">
        <f>SUM(J11:J12)</f>
        <v>112399.5</v>
      </c>
    </row>
    <row r="14" spans="2:12" ht="17.399999999999999" customHeight="1" x14ac:dyDescent="0.35">
      <c r="B14" s="16"/>
      <c r="C14" s="26" t="s">
        <v>23</v>
      </c>
      <c r="D14" s="26"/>
      <c r="E14" s="26"/>
      <c r="F14" s="26"/>
      <c r="G14" s="26"/>
      <c r="H14" s="26"/>
      <c r="I14" s="26"/>
      <c r="J14" s="6">
        <v>0</v>
      </c>
    </row>
    <row r="15" spans="2:12" ht="17.399999999999999" customHeight="1" x14ac:dyDescent="0.35">
      <c r="B15" s="16"/>
      <c r="C15" s="26"/>
      <c r="D15" s="26"/>
      <c r="E15" s="26"/>
      <c r="F15" s="26"/>
      <c r="G15" s="26"/>
      <c r="H15" s="26"/>
      <c r="I15" s="26"/>
      <c r="J15" s="6"/>
      <c r="L15" s="17"/>
    </row>
    <row r="16" spans="2:12" ht="17.399999999999999" customHeight="1" x14ac:dyDescent="0.35">
      <c r="B16" s="16"/>
      <c r="C16" s="14"/>
      <c r="D16" s="14"/>
      <c r="E16" s="14"/>
      <c r="F16" s="14"/>
      <c r="G16" s="14"/>
      <c r="H16" s="14"/>
      <c r="I16" s="14"/>
      <c r="J16" s="20">
        <f>J13+J14+J15</f>
        <v>112399.5</v>
      </c>
    </row>
    <row r="17" spans="2:12" ht="15.5" x14ac:dyDescent="0.35">
      <c r="B17" s="7"/>
      <c r="C17" s="27" t="s">
        <v>56</v>
      </c>
      <c r="D17" s="27"/>
      <c r="E17" s="27"/>
      <c r="F17" s="27"/>
      <c r="G17" s="27"/>
      <c r="H17" s="27"/>
      <c r="I17" s="27"/>
      <c r="J17" s="27"/>
    </row>
    <row r="18" spans="2:12" ht="15.5" x14ac:dyDescent="0.35">
      <c r="B18" s="16"/>
      <c r="C18" s="23" t="s">
        <v>12</v>
      </c>
      <c r="D18" s="23"/>
      <c r="E18" s="23"/>
      <c r="F18" s="7"/>
      <c r="G18" s="7"/>
      <c r="H18" s="7"/>
      <c r="I18" s="7"/>
      <c r="J18" s="8">
        <v>0</v>
      </c>
    </row>
    <row r="19" spans="2:12" ht="15.5" x14ac:dyDescent="0.35">
      <c r="B19" s="16"/>
      <c r="C19" s="23" t="s">
        <v>20</v>
      </c>
      <c r="D19" s="23"/>
      <c r="E19" s="23"/>
      <c r="F19" s="7"/>
      <c r="G19" s="7"/>
      <c r="H19" s="7"/>
      <c r="I19" s="7"/>
      <c r="J19" s="8">
        <v>0</v>
      </c>
    </row>
    <row r="20" spans="2:12" ht="15.5" x14ac:dyDescent="0.35">
      <c r="B20" s="16"/>
      <c r="C20" s="23" t="s">
        <v>13</v>
      </c>
      <c r="D20" s="23"/>
      <c r="E20" s="23"/>
      <c r="F20" s="7"/>
      <c r="G20" s="7" t="s">
        <v>19</v>
      </c>
      <c r="H20" s="7"/>
      <c r="I20" s="7"/>
      <c r="J20" s="21">
        <f>J16</f>
        <v>112399.5</v>
      </c>
    </row>
    <row r="21" spans="2:12" ht="15.5" x14ac:dyDescent="0.35">
      <c r="B21" s="7"/>
      <c r="C21" s="23"/>
      <c r="D21" s="23"/>
      <c r="E21" s="23"/>
      <c r="F21" s="7"/>
      <c r="G21" s="7"/>
      <c r="H21" s="7"/>
      <c r="I21" s="7"/>
      <c r="J21" s="7"/>
      <c r="L21" s="10"/>
    </row>
    <row r="22" spans="2:12" x14ac:dyDescent="0.3">
      <c r="B22" s="24" t="s">
        <v>14</v>
      </c>
      <c r="C22" s="24"/>
      <c r="D22" s="24"/>
      <c r="E22" s="24"/>
      <c r="F22" s="24"/>
      <c r="G22" s="24"/>
      <c r="H22" s="24"/>
      <c r="I22" s="24"/>
      <c r="J22" s="24"/>
    </row>
    <row r="23" spans="2:12" x14ac:dyDescent="0.3">
      <c r="B23" s="24"/>
      <c r="C23" s="24"/>
      <c r="D23" s="24"/>
      <c r="E23" s="24"/>
      <c r="F23" s="24"/>
      <c r="G23" s="24"/>
      <c r="H23" s="24"/>
      <c r="I23" s="24"/>
      <c r="J23" s="24"/>
    </row>
    <row r="24" spans="2:12" x14ac:dyDescent="0.3">
      <c r="B24" s="24"/>
      <c r="C24" s="24"/>
      <c r="D24" s="24"/>
      <c r="E24" s="24"/>
      <c r="F24" s="24"/>
      <c r="G24" s="24"/>
      <c r="H24" s="24"/>
      <c r="I24" s="24"/>
      <c r="J24" s="24"/>
    </row>
    <row r="27" spans="2:12" ht="14.15" customHeight="1" x14ac:dyDescent="0.3">
      <c r="B27" s="25" t="s">
        <v>15</v>
      </c>
      <c r="C27" s="25"/>
      <c r="D27" s="25"/>
      <c r="E27" s="25"/>
      <c r="F27" s="25"/>
      <c r="G27" s="25"/>
      <c r="H27" s="25"/>
      <c r="I27" s="25"/>
      <c r="J27" s="25"/>
    </row>
    <row r="28" spans="2:12" ht="14.15" customHeight="1" x14ac:dyDescent="0.3">
      <c r="B28" s="25"/>
      <c r="C28" s="25"/>
      <c r="D28" s="25"/>
      <c r="E28" s="25"/>
      <c r="F28" s="25"/>
      <c r="G28" s="25"/>
      <c r="H28" s="25"/>
      <c r="I28" s="25"/>
      <c r="J28" s="25"/>
    </row>
    <row r="29" spans="2:12" x14ac:dyDescent="0.3">
      <c r="B29" s="25"/>
      <c r="C29" s="25"/>
      <c r="D29" s="25"/>
      <c r="E29" s="25"/>
      <c r="F29" s="25"/>
      <c r="G29" s="25"/>
      <c r="H29" s="25"/>
      <c r="I29" s="25"/>
      <c r="J29" s="25"/>
    </row>
    <row r="30" spans="2:12" x14ac:dyDescent="0.3">
      <c r="B30" s="25"/>
      <c r="C30" s="25"/>
      <c r="D30" s="25"/>
      <c r="E30" s="25"/>
      <c r="F30" s="25"/>
      <c r="G30" s="25"/>
      <c r="H30" s="25"/>
      <c r="I30" s="25"/>
      <c r="J30" s="25"/>
    </row>
    <row r="31" spans="2:12" ht="15.5" x14ac:dyDescent="0.35">
      <c r="B31" s="7"/>
      <c r="C31" s="7"/>
      <c r="D31" s="7"/>
      <c r="E31" s="7"/>
      <c r="F31" s="7"/>
      <c r="G31" s="7"/>
      <c r="H31" s="7"/>
      <c r="I31" s="7"/>
      <c r="J31" s="7"/>
    </row>
    <row r="32" spans="2:12" ht="15.5" x14ac:dyDescent="0.35">
      <c r="B32" s="7"/>
      <c r="C32" s="7"/>
      <c r="D32" s="7"/>
      <c r="E32" s="7"/>
      <c r="F32" s="7"/>
      <c r="G32" s="7"/>
      <c r="H32" s="7"/>
      <c r="I32" s="7"/>
      <c r="J32" s="7"/>
    </row>
  </sheetData>
  <mergeCells count="28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12:E12"/>
    <mergeCell ref="C13:I13"/>
    <mergeCell ref="C14:I14"/>
    <mergeCell ref="B27:J28"/>
    <mergeCell ref="B29:J30"/>
    <mergeCell ref="C11:E11"/>
    <mergeCell ref="C17:J17"/>
    <mergeCell ref="C18:E18"/>
    <mergeCell ref="C19:E19"/>
    <mergeCell ref="C20:E20"/>
    <mergeCell ref="C21:E21"/>
    <mergeCell ref="B22:J24"/>
    <mergeCell ref="C15:I15"/>
  </mergeCells>
  <pageMargins left="0.7" right="0.7" top="0.75" bottom="0.75" header="0.3" footer="0.3"/>
  <pageSetup paperSize="9" scale="70" orientation="portrait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0F979-06F3-410C-86AA-8B4D6FFDA2FE}">
  <sheetPr>
    <pageSetUpPr fitToPage="1"/>
  </sheetPr>
  <dimension ref="B2:L34"/>
  <sheetViews>
    <sheetView topLeftCell="A2" zoomScaleNormal="100" workbookViewId="0">
      <selection activeCell="D18" sqref="D18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0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45771</v>
      </c>
      <c r="J6" s="31"/>
    </row>
    <row r="7" spans="2:10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45765</v>
      </c>
      <c r="J7" s="31"/>
    </row>
    <row r="8" spans="2:10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33" t="s">
        <v>57</v>
      </c>
      <c r="D11" s="33"/>
      <c r="E11" s="33"/>
      <c r="F11" s="5">
        <v>1</v>
      </c>
      <c r="G11" s="19">
        <f>(72.5+35+56.25+42.3+20.55+17.72)*26</f>
        <v>6352.3200000000006</v>
      </c>
      <c r="H11" s="4" t="s">
        <v>24</v>
      </c>
      <c r="I11" s="12">
        <v>195</v>
      </c>
      <c r="J11" s="18">
        <f>F11*I11*G11</f>
        <v>1238702.4000000001</v>
      </c>
    </row>
    <row r="12" spans="2:10" ht="33.9" customHeight="1" x14ac:dyDescent="0.3">
      <c r="B12" s="4">
        <v>2</v>
      </c>
      <c r="C12" s="33" t="s">
        <v>58</v>
      </c>
      <c r="D12" s="33"/>
      <c r="E12" s="33"/>
      <c r="F12" s="5">
        <v>1</v>
      </c>
      <c r="G12" s="19">
        <f>23.625*26</f>
        <v>614.25</v>
      </c>
      <c r="H12" s="4" t="s">
        <v>24</v>
      </c>
      <c r="I12" s="12">
        <v>250</v>
      </c>
      <c r="J12" s="18">
        <f>F12*I12*G12</f>
        <v>153562.5</v>
      </c>
    </row>
    <row r="13" spans="2:10" ht="33.9" customHeight="1" x14ac:dyDescent="0.3">
      <c r="B13" s="4">
        <v>3</v>
      </c>
      <c r="C13" s="33" t="s">
        <v>59</v>
      </c>
      <c r="D13" s="33"/>
      <c r="E13" s="33"/>
      <c r="F13" s="5">
        <v>1</v>
      </c>
      <c r="G13" s="19">
        <f>237.5*26</f>
        <v>6175</v>
      </c>
      <c r="H13" s="4" t="s">
        <v>24</v>
      </c>
      <c r="I13" s="12">
        <v>195</v>
      </c>
      <c r="J13" s="18">
        <f>F13*I13*G13</f>
        <v>1204125</v>
      </c>
    </row>
    <row r="14" spans="2:10" ht="33.9" customHeight="1" x14ac:dyDescent="0.3">
      <c r="B14" s="4">
        <v>4</v>
      </c>
      <c r="C14" s="33" t="s">
        <v>60</v>
      </c>
      <c r="D14" s="33"/>
      <c r="E14" s="33"/>
      <c r="F14" s="5">
        <v>1</v>
      </c>
      <c r="G14" s="19">
        <f>23.625*26</f>
        <v>614.25</v>
      </c>
      <c r="H14" s="4" t="s">
        <v>24</v>
      </c>
      <c r="I14" s="12">
        <v>250</v>
      </c>
      <c r="J14" s="18">
        <f>F14*I14*G14</f>
        <v>153562.5</v>
      </c>
    </row>
    <row r="15" spans="2:10" ht="17.399999999999999" customHeight="1" x14ac:dyDescent="0.35">
      <c r="B15" s="16"/>
      <c r="C15" s="28" t="s">
        <v>18</v>
      </c>
      <c r="D15" s="28"/>
      <c r="E15" s="28"/>
      <c r="F15" s="28"/>
      <c r="G15" s="28"/>
      <c r="H15" s="28"/>
      <c r="I15" s="28"/>
      <c r="J15" s="20">
        <f>SUM(J11:J14)</f>
        <v>2749952.4000000004</v>
      </c>
    </row>
    <row r="16" spans="2:10" ht="17.399999999999999" customHeight="1" x14ac:dyDescent="0.35">
      <c r="B16" s="16"/>
      <c r="C16" s="26" t="s">
        <v>23</v>
      </c>
      <c r="D16" s="26"/>
      <c r="E16" s="26"/>
      <c r="F16" s="26"/>
      <c r="G16" s="26"/>
      <c r="H16" s="26"/>
      <c r="I16" s="26"/>
      <c r="J16" s="6">
        <v>0</v>
      </c>
    </row>
    <row r="17" spans="2:12" ht="17.399999999999999" customHeight="1" x14ac:dyDescent="0.35">
      <c r="B17" s="16"/>
      <c r="C17" s="26"/>
      <c r="D17" s="26"/>
      <c r="E17" s="26"/>
      <c r="F17" s="26"/>
      <c r="G17" s="26"/>
      <c r="H17" s="26"/>
      <c r="I17" s="26"/>
      <c r="J17" s="6"/>
      <c r="L17" s="17"/>
    </row>
    <row r="18" spans="2:12" ht="17.399999999999999" customHeight="1" x14ac:dyDescent="0.35">
      <c r="B18" s="16"/>
      <c r="C18" s="14"/>
      <c r="D18" s="14"/>
      <c r="E18" s="14"/>
      <c r="F18" s="14"/>
      <c r="G18" s="14"/>
      <c r="H18" s="14"/>
      <c r="I18" s="14"/>
      <c r="J18" s="20">
        <f>J15+J16+J17</f>
        <v>2749952.4000000004</v>
      </c>
    </row>
    <row r="19" spans="2:12" ht="15.5" x14ac:dyDescent="0.35">
      <c r="B19" s="7"/>
      <c r="C19" s="27" t="s">
        <v>61</v>
      </c>
      <c r="D19" s="27"/>
      <c r="E19" s="27"/>
      <c r="F19" s="27"/>
      <c r="G19" s="27"/>
      <c r="H19" s="27"/>
      <c r="I19" s="27"/>
      <c r="J19" s="27"/>
    </row>
    <row r="20" spans="2:12" ht="15.5" x14ac:dyDescent="0.35">
      <c r="B20" s="16"/>
      <c r="C20" s="23" t="s">
        <v>12</v>
      </c>
      <c r="D20" s="23"/>
      <c r="E20" s="23"/>
      <c r="F20" s="7"/>
      <c r="G20" s="7"/>
      <c r="H20" s="7"/>
      <c r="I20" s="7"/>
      <c r="J20" s="8">
        <v>0</v>
      </c>
    </row>
    <row r="21" spans="2:12" ht="15.5" x14ac:dyDescent="0.35">
      <c r="B21" s="16"/>
      <c r="C21" s="23" t="s">
        <v>20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13</v>
      </c>
      <c r="D22" s="23"/>
      <c r="E22" s="23"/>
      <c r="F22" s="7"/>
      <c r="G22" s="7" t="s">
        <v>19</v>
      </c>
      <c r="H22" s="7"/>
      <c r="I22" s="7"/>
      <c r="J22" s="21">
        <f>J18</f>
        <v>2749952.4000000004</v>
      </c>
    </row>
    <row r="23" spans="2:12" ht="15.5" x14ac:dyDescent="0.35">
      <c r="B23" s="7"/>
      <c r="C23" s="23"/>
      <c r="D23" s="23"/>
      <c r="E23" s="23"/>
      <c r="F23" s="7"/>
      <c r="G23" s="7"/>
      <c r="H23" s="7"/>
      <c r="I23" s="7"/>
      <c r="J23" s="7"/>
      <c r="L23" s="10"/>
    </row>
    <row r="24" spans="2:12" x14ac:dyDescent="0.3">
      <c r="B24" s="24" t="s">
        <v>14</v>
      </c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9" spans="2:12" ht="14.15" customHeight="1" x14ac:dyDescent="0.3">
      <c r="B29" s="25" t="s">
        <v>15</v>
      </c>
      <c r="C29" s="25"/>
      <c r="D29" s="25"/>
      <c r="E29" s="25"/>
      <c r="F29" s="25"/>
      <c r="G29" s="25"/>
      <c r="H29" s="25"/>
      <c r="I29" s="25"/>
      <c r="J29" s="25"/>
    </row>
    <row r="30" spans="2:12" ht="14.15" customHeight="1" x14ac:dyDescent="0.3">
      <c r="B30" s="25"/>
      <c r="C30" s="25"/>
      <c r="D30" s="25"/>
      <c r="E30" s="25"/>
      <c r="F30" s="25"/>
      <c r="G30" s="25"/>
      <c r="H30" s="25"/>
      <c r="I30" s="25"/>
      <c r="J30" s="25"/>
    </row>
    <row r="31" spans="2:12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ht="15.5" x14ac:dyDescent="0.35">
      <c r="B33" s="7"/>
      <c r="C33" s="7"/>
      <c r="D33" s="7"/>
      <c r="E33" s="7"/>
      <c r="F33" s="7"/>
      <c r="G33" s="7"/>
      <c r="H33" s="7"/>
      <c r="I33" s="7"/>
      <c r="J33" s="7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</sheetData>
  <mergeCells count="30">
    <mergeCell ref="C23:E23"/>
    <mergeCell ref="B24:J26"/>
    <mergeCell ref="B29:J30"/>
    <mergeCell ref="B31:J32"/>
    <mergeCell ref="C12:E12"/>
    <mergeCell ref="C13:E13"/>
    <mergeCell ref="C16:I16"/>
    <mergeCell ref="C17:I17"/>
    <mergeCell ref="C19:J19"/>
    <mergeCell ref="C20:E20"/>
    <mergeCell ref="C21:E21"/>
    <mergeCell ref="C22:E22"/>
    <mergeCell ref="B9:J9"/>
    <mergeCell ref="C10:E10"/>
    <mergeCell ref="C11:E11"/>
    <mergeCell ref="C14:E14"/>
    <mergeCell ref="C15:I15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  <ignoredErrors>
    <ignoredError sqref="G13" formula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E4B09-9A23-40D8-BDCE-CFD225F5DBAC}">
  <sheetPr>
    <pageSetUpPr fitToPage="1"/>
  </sheetPr>
  <dimension ref="B2:L34"/>
  <sheetViews>
    <sheetView zoomScaleNormal="100" workbookViewId="0">
      <selection activeCell="B2" sqref="B2:J32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0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45771</v>
      </c>
      <c r="J6" s="31"/>
    </row>
    <row r="7" spans="2:10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45765</v>
      </c>
      <c r="J7" s="31"/>
    </row>
    <row r="8" spans="2:10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33" t="s">
        <v>71</v>
      </c>
      <c r="D11" s="33"/>
      <c r="E11" s="33"/>
      <c r="F11" s="5">
        <v>1</v>
      </c>
      <c r="G11" s="19">
        <f>266*13</f>
        <v>3458</v>
      </c>
      <c r="H11" s="4" t="s">
        <v>24</v>
      </c>
      <c r="I11" s="12">
        <v>195</v>
      </c>
      <c r="J11" s="18">
        <f>F11*I11*G11</f>
        <v>674310</v>
      </c>
    </row>
    <row r="12" spans="2:10" ht="33.9" customHeight="1" x14ac:dyDescent="0.3">
      <c r="B12" s="4">
        <v>2</v>
      </c>
      <c r="C12" s="33" t="s">
        <v>62</v>
      </c>
      <c r="D12" s="33"/>
      <c r="E12" s="33"/>
      <c r="F12" s="5">
        <v>1</v>
      </c>
      <c r="G12" s="19">
        <f>31*13</f>
        <v>403</v>
      </c>
      <c r="H12" s="4" t="s">
        <v>24</v>
      </c>
      <c r="I12" s="12">
        <v>250</v>
      </c>
      <c r="J12" s="18">
        <f>F12*I12*G12</f>
        <v>100750</v>
      </c>
    </row>
    <row r="13" spans="2:10" ht="33.9" customHeight="1" x14ac:dyDescent="0.3">
      <c r="B13" s="4">
        <v>3</v>
      </c>
      <c r="C13" s="33" t="s">
        <v>72</v>
      </c>
      <c r="D13" s="33"/>
      <c r="E13" s="33"/>
      <c r="F13" s="5">
        <v>1</v>
      </c>
      <c r="G13" s="19">
        <f>270*13</f>
        <v>3510</v>
      </c>
      <c r="H13" s="4" t="s">
        <v>24</v>
      </c>
      <c r="I13" s="12">
        <v>195</v>
      </c>
      <c r="J13" s="18">
        <f>F13*I13*G13</f>
        <v>684450</v>
      </c>
    </row>
    <row r="14" spans="2:10" ht="33.9" customHeight="1" x14ac:dyDescent="0.3">
      <c r="B14" s="4">
        <v>4</v>
      </c>
      <c r="C14" s="33" t="s">
        <v>63</v>
      </c>
      <c r="D14" s="33"/>
      <c r="E14" s="33"/>
      <c r="F14" s="5">
        <v>1</v>
      </c>
      <c r="G14" s="19">
        <f>25.325*13</f>
        <v>329.22499999999997</v>
      </c>
      <c r="H14" s="4" t="s">
        <v>24</v>
      </c>
      <c r="I14" s="12">
        <v>250</v>
      </c>
      <c r="J14" s="18">
        <f>F14*I14*G14</f>
        <v>82306.249999999985</v>
      </c>
    </row>
    <row r="15" spans="2:10" ht="17.399999999999999" customHeight="1" x14ac:dyDescent="0.35">
      <c r="B15" s="16"/>
      <c r="C15" s="28" t="s">
        <v>18</v>
      </c>
      <c r="D15" s="28"/>
      <c r="E15" s="28"/>
      <c r="F15" s="28"/>
      <c r="G15" s="28"/>
      <c r="H15" s="28"/>
      <c r="I15" s="28"/>
      <c r="J15" s="20">
        <f>SUM(J11:J14)</f>
        <v>1541816.25</v>
      </c>
    </row>
    <row r="16" spans="2:10" ht="17.399999999999999" customHeight="1" x14ac:dyDescent="0.35">
      <c r="B16" s="16"/>
      <c r="C16" s="26" t="s">
        <v>23</v>
      </c>
      <c r="D16" s="26"/>
      <c r="E16" s="26"/>
      <c r="F16" s="26"/>
      <c r="G16" s="26"/>
      <c r="H16" s="26"/>
      <c r="I16" s="26"/>
      <c r="J16" s="6">
        <v>0</v>
      </c>
    </row>
    <row r="17" spans="2:12" ht="17.399999999999999" customHeight="1" x14ac:dyDescent="0.35">
      <c r="B17" s="16"/>
      <c r="C17" s="26"/>
      <c r="D17" s="26"/>
      <c r="E17" s="26"/>
      <c r="F17" s="26"/>
      <c r="G17" s="26"/>
      <c r="H17" s="26"/>
      <c r="I17" s="26"/>
      <c r="J17" s="6"/>
      <c r="L17" s="17"/>
    </row>
    <row r="18" spans="2:12" ht="17.399999999999999" customHeight="1" x14ac:dyDescent="0.35">
      <c r="B18" s="16"/>
      <c r="C18" s="14"/>
      <c r="D18" s="14"/>
      <c r="E18" s="14"/>
      <c r="F18" s="14"/>
      <c r="G18" s="14"/>
      <c r="H18" s="14"/>
      <c r="I18" s="14"/>
      <c r="J18" s="20">
        <f>J15+J16+J17</f>
        <v>1541816.25</v>
      </c>
    </row>
    <row r="19" spans="2:12" ht="15.5" x14ac:dyDescent="0.35">
      <c r="B19" s="7"/>
      <c r="C19" s="27" t="s">
        <v>64</v>
      </c>
      <c r="D19" s="27"/>
      <c r="E19" s="27"/>
      <c r="F19" s="27"/>
      <c r="G19" s="27"/>
      <c r="H19" s="27"/>
      <c r="I19" s="27"/>
      <c r="J19" s="27"/>
    </row>
    <row r="20" spans="2:12" ht="15.5" x14ac:dyDescent="0.35">
      <c r="B20" s="16"/>
      <c r="C20" s="23" t="s">
        <v>12</v>
      </c>
      <c r="D20" s="23"/>
      <c r="E20" s="23"/>
      <c r="F20" s="7"/>
      <c r="G20" s="7"/>
      <c r="H20" s="7"/>
      <c r="I20" s="7"/>
      <c r="J20" s="8">
        <v>0</v>
      </c>
    </row>
    <row r="21" spans="2:12" ht="15.5" x14ac:dyDescent="0.35">
      <c r="B21" s="16"/>
      <c r="C21" s="23" t="s">
        <v>20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13</v>
      </c>
      <c r="D22" s="23"/>
      <c r="E22" s="23"/>
      <c r="F22" s="7"/>
      <c r="G22" s="7" t="s">
        <v>19</v>
      </c>
      <c r="H22" s="7"/>
      <c r="I22" s="7"/>
      <c r="J22" s="21">
        <f>J18</f>
        <v>1541816.25</v>
      </c>
    </row>
    <row r="23" spans="2:12" ht="15.5" x14ac:dyDescent="0.35">
      <c r="B23" s="7"/>
      <c r="C23" s="23"/>
      <c r="D23" s="23"/>
      <c r="E23" s="23"/>
      <c r="F23" s="7"/>
      <c r="G23" s="7"/>
      <c r="H23" s="7"/>
      <c r="I23" s="7"/>
      <c r="J23" s="7"/>
      <c r="L23" s="10"/>
    </row>
    <row r="24" spans="2:12" x14ac:dyDescent="0.3">
      <c r="B24" s="24" t="s">
        <v>14</v>
      </c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9" spans="2:12" ht="14.15" customHeight="1" x14ac:dyDescent="0.3">
      <c r="B29" s="25" t="s">
        <v>15</v>
      </c>
      <c r="C29" s="25"/>
      <c r="D29" s="25"/>
      <c r="E29" s="25"/>
      <c r="F29" s="25"/>
      <c r="G29" s="25"/>
      <c r="H29" s="25"/>
      <c r="I29" s="25"/>
      <c r="J29" s="25"/>
    </row>
    <row r="30" spans="2:12" ht="14.15" customHeight="1" x14ac:dyDescent="0.3">
      <c r="B30" s="25"/>
      <c r="C30" s="25"/>
      <c r="D30" s="25"/>
      <c r="E30" s="25"/>
      <c r="F30" s="25"/>
      <c r="G30" s="25"/>
      <c r="H30" s="25"/>
      <c r="I30" s="25"/>
      <c r="J30" s="25"/>
    </row>
    <row r="31" spans="2:12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ht="15.5" x14ac:dyDescent="0.35">
      <c r="B33" s="7"/>
      <c r="C33" s="7"/>
      <c r="D33" s="7"/>
      <c r="E33" s="7"/>
      <c r="F33" s="7"/>
      <c r="G33" s="7"/>
      <c r="H33" s="7"/>
      <c r="I33" s="7"/>
      <c r="J33" s="7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</sheetData>
  <mergeCells count="30">
    <mergeCell ref="C22:E22"/>
    <mergeCell ref="C23:E23"/>
    <mergeCell ref="B24:J26"/>
    <mergeCell ref="B29:J30"/>
    <mergeCell ref="B31:J32"/>
    <mergeCell ref="C21:E21"/>
    <mergeCell ref="B9:J9"/>
    <mergeCell ref="C10:E10"/>
    <mergeCell ref="C11:E11"/>
    <mergeCell ref="C12:E12"/>
    <mergeCell ref="C13:E13"/>
    <mergeCell ref="C14:E14"/>
    <mergeCell ref="C15:I15"/>
    <mergeCell ref="C16:I16"/>
    <mergeCell ref="C17:I17"/>
    <mergeCell ref="C19:J19"/>
    <mergeCell ref="C20:E20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E5C55-35ED-4BAC-B713-5811A13EEC37}">
  <sheetPr>
    <pageSetUpPr fitToPage="1"/>
  </sheetPr>
  <dimension ref="B2:L35"/>
  <sheetViews>
    <sheetView zoomScaleNormal="100" workbookViewId="0">
      <selection activeCell="B2" sqref="B2:J33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0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45771</v>
      </c>
      <c r="J6" s="31"/>
    </row>
    <row r="7" spans="2:10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45765</v>
      </c>
      <c r="J7" s="31"/>
    </row>
    <row r="8" spans="2:10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0" ht="33.9" customHeight="1" x14ac:dyDescent="0.3">
      <c r="B11" s="4">
        <v>1</v>
      </c>
      <c r="C11" s="33" t="s">
        <v>65</v>
      </c>
      <c r="D11" s="33"/>
      <c r="E11" s="33"/>
      <c r="F11" s="5">
        <v>1</v>
      </c>
      <c r="G11" s="19">
        <f>413.25+158.5+35.625</f>
        <v>607.375</v>
      </c>
      <c r="H11" s="4" t="s">
        <v>24</v>
      </c>
      <c r="I11" s="12">
        <v>195</v>
      </c>
      <c r="J11" s="18">
        <f>F11*I11*G11</f>
        <v>118438.125</v>
      </c>
    </row>
    <row r="12" spans="2:10" ht="33.9" customHeight="1" x14ac:dyDescent="0.3">
      <c r="B12" s="4">
        <v>2</v>
      </c>
      <c r="C12" s="33" t="s">
        <v>66</v>
      </c>
      <c r="D12" s="33"/>
      <c r="E12" s="33"/>
      <c r="F12" s="5">
        <v>1</v>
      </c>
      <c r="G12" s="19">
        <f>413.25+158.5+35.625</f>
        <v>607.375</v>
      </c>
      <c r="H12" s="4" t="s">
        <v>24</v>
      </c>
      <c r="I12" s="12">
        <v>195</v>
      </c>
      <c r="J12" s="18">
        <f>F12*I12*G12</f>
        <v>118438.125</v>
      </c>
    </row>
    <row r="13" spans="2:10" ht="33.9" customHeight="1" x14ac:dyDescent="0.3">
      <c r="B13" s="4">
        <v>3</v>
      </c>
      <c r="C13" s="33" t="s">
        <v>67</v>
      </c>
      <c r="D13" s="33"/>
      <c r="E13" s="33"/>
      <c r="F13" s="5">
        <v>1</v>
      </c>
      <c r="G13" s="19">
        <v>6</v>
      </c>
      <c r="H13" s="4" t="s">
        <v>24</v>
      </c>
      <c r="I13" s="12">
        <v>300</v>
      </c>
      <c r="J13" s="18">
        <f>F13*I13*G13</f>
        <v>1800</v>
      </c>
    </row>
    <row r="14" spans="2:10" ht="33.9" customHeight="1" x14ac:dyDescent="0.3">
      <c r="B14" s="4">
        <v>4</v>
      </c>
      <c r="C14" s="33" t="s">
        <v>68</v>
      </c>
      <c r="D14" s="33"/>
      <c r="E14" s="33"/>
      <c r="F14" s="5">
        <v>1</v>
      </c>
      <c r="G14" s="19">
        <v>6</v>
      </c>
      <c r="H14" s="4" t="s">
        <v>24</v>
      </c>
      <c r="I14" s="12">
        <v>300</v>
      </c>
      <c r="J14" s="18">
        <f>F14*I14*G14</f>
        <v>1800</v>
      </c>
    </row>
    <row r="15" spans="2:10" ht="33.9" customHeight="1" x14ac:dyDescent="0.3">
      <c r="B15" s="4">
        <v>5</v>
      </c>
      <c r="C15" s="33" t="s">
        <v>69</v>
      </c>
      <c r="D15" s="33"/>
      <c r="E15" s="33"/>
      <c r="F15" s="5">
        <v>1</v>
      </c>
      <c r="G15" s="19">
        <v>4</v>
      </c>
      <c r="H15" s="4" t="s">
        <v>24</v>
      </c>
      <c r="I15" s="12">
        <v>700</v>
      </c>
      <c r="J15" s="18">
        <f>F15*I15*G15</f>
        <v>2800</v>
      </c>
    </row>
    <row r="16" spans="2:10" ht="17.399999999999999" customHeight="1" x14ac:dyDescent="0.35">
      <c r="B16" s="16"/>
      <c r="C16" s="28" t="s">
        <v>18</v>
      </c>
      <c r="D16" s="28"/>
      <c r="E16" s="28"/>
      <c r="F16" s="28"/>
      <c r="G16" s="28"/>
      <c r="H16" s="28"/>
      <c r="I16" s="28"/>
      <c r="J16" s="20">
        <f>SUM(J11:J15)</f>
        <v>243276.25</v>
      </c>
    </row>
    <row r="17" spans="2:12" ht="17.399999999999999" customHeight="1" x14ac:dyDescent="0.35">
      <c r="B17" s="16"/>
      <c r="C17" s="26" t="s">
        <v>23</v>
      </c>
      <c r="D17" s="26"/>
      <c r="E17" s="26"/>
      <c r="F17" s="26"/>
      <c r="G17" s="26"/>
      <c r="H17" s="26"/>
      <c r="I17" s="26"/>
      <c r="J17" s="6">
        <v>0</v>
      </c>
    </row>
    <row r="18" spans="2:12" ht="17.399999999999999" customHeight="1" x14ac:dyDescent="0.35">
      <c r="B18" s="16"/>
      <c r="C18" s="26"/>
      <c r="D18" s="26"/>
      <c r="E18" s="26"/>
      <c r="F18" s="26"/>
      <c r="G18" s="26"/>
      <c r="H18" s="26"/>
      <c r="I18" s="26"/>
      <c r="J18" s="6"/>
      <c r="L18" s="17"/>
    </row>
    <row r="19" spans="2:12" ht="17.399999999999999" customHeight="1" x14ac:dyDescent="0.35">
      <c r="B19" s="16"/>
      <c r="C19" s="14"/>
      <c r="D19" s="14"/>
      <c r="E19" s="14"/>
      <c r="F19" s="14"/>
      <c r="G19" s="14"/>
      <c r="H19" s="14"/>
      <c r="I19" s="14"/>
      <c r="J19" s="20">
        <f>J16+J17+J18</f>
        <v>243276.25</v>
      </c>
    </row>
    <row r="20" spans="2:12" ht="15.5" x14ac:dyDescent="0.35">
      <c r="B20" s="7"/>
      <c r="C20" s="27" t="s">
        <v>70</v>
      </c>
      <c r="D20" s="27"/>
      <c r="E20" s="27"/>
      <c r="F20" s="27"/>
      <c r="G20" s="27"/>
      <c r="H20" s="27"/>
      <c r="I20" s="27"/>
      <c r="J20" s="27"/>
    </row>
    <row r="21" spans="2:12" ht="15.5" x14ac:dyDescent="0.35">
      <c r="B21" s="16"/>
      <c r="C21" s="23" t="s">
        <v>12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20</v>
      </c>
      <c r="D22" s="23"/>
      <c r="E22" s="23"/>
      <c r="F22" s="7"/>
      <c r="G22" s="7"/>
      <c r="H22" s="7"/>
      <c r="I22" s="7"/>
      <c r="J22" s="8">
        <v>0</v>
      </c>
    </row>
    <row r="23" spans="2:12" ht="15.5" x14ac:dyDescent="0.35">
      <c r="B23" s="16"/>
      <c r="C23" s="23" t="s">
        <v>13</v>
      </c>
      <c r="D23" s="23"/>
      <c r="E23" s="23"/>
      <c r="F23" s="7"/>
      <c r="G23" s="7" t="s">
        <v>19</v>
      </c>
      <c r="H23" s="7"/>
      <c r="I23" s="7"/>
      <c r="J23" s="21">
        <f>J19</f>
        <v>243276.25</v>
      </c>
    </row>
    <row r="24" spans="2:12" ht="15.5" x14ac:dyDescent="0.35">
      <c r="B24" s="7"/>
      <c r="C24" s="23"/>
      <c r="D24" s="23"/>
      <c r="E24" s="23"/>
      <c r="F24" s="7"/>
      <c r="G24" s="7"/>
      <c r="H24" s="7"/>
      <c r="I24" s="7"/>
      <c r="J24" s="7"/>
      <c r="L24" s="10"/>
    </row>
    <row r="25" spans="2:12" x14ac:dyDescent="0.3">
      <c r="B25" s="24" t="s">
        <v>14</v>
      </c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7" spans="2:12" x14ac:dyDescent="0.3">
      <c r="B27" s="24"/>
      <c r="C27" s="24"/>
      <c r="D27" s="24"/>
      <c r="E27" s="24"/>
      <c r="F27" s="24"/>
      <c r="G27" s="24"/>
      <c r="H27" s="24"/>
      <c r="I27" s="24"/>
      <c r="J27" s="24"/>
    </row>
    <row r="30" spans="2:12" ht="14.15" customHeight="1" x14ac:dyDescent="0.3">
      <c r="B30" s="25" t="s">
        <v>15</v>
      </c>
      <c r="C30" s="25"/>
      <c r="D30" s="25"/>
      <c r="E30" s="25"/>
      <c r="F30" s="25"/>
      <c r="G30" s="25"/>
      <c r="H30" s="25"/>
      <c r="I30" s="25"/>
      <c r="J30" s="25"/>
    </row>
    <row r="31" spans="2:12" ht="14.15" customHeight="1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x14ac:dyDescent="0.3">
      <c r="B33" s="25"/>
      <c r="C33" s="25"/>
      <c r="D33" s="25"/>
      <c r="E33" s="25"/>
      <c r="F33" s="25"/>
      <c r="G33" s="25"/>
      <c r="H33" s="25"/>
      <c r="I33" s="25"/>
      <c r="J33" s="25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  <row r="35" spans="2:10" ht="15.5" x14ac:dyDescent="0.35">
      <c r="B35" s="7"/>
      <c r="C35" s="7"/>
      <c r="D35" s="7"/>
      <c r="E35" s="7"/>
      <c r="F35" s="7"/>
      <c r="G35" s="7"/>
      <c r="H35" s="7"/>
      <c r="I35" s="7"/>
      <c r="J35" s="7"/>
    </row>
  </sheetData>
  <mergeCells count="31">
    <mergeCell ref="C23:E23"/>
    <mergeCell ref="C24:E24"/>
    <mergeCell ref="B25:J27"/>
    <mergeCell ref="B30:J31"/>
    <mergeCell ref="B32:J33"/>
    <mergeCell ref="C21:E21"/>
    <mergeCell ref="C22:E22"/>
    <mergeCell ref="B9:J9"/>
    <mergeCell ref="C10:E10"/>
    <mergeCell ref="C11:E11"/>
    <mergeCell ref="C12:E12"/>
    <mergeCell ref="C13:E13"/>
    <mergeCell ref="C15:E15"/>
    <mergeCell ref="C14:E14"/>
    <mergeCell ref="C16:I16"/>
    <mergeCell ref="C17:I17"/>
    <mergeCell ref="C18:I18"/>
    <mergeCell ref="C20:J20"/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</mergeCells>
  <pageMargins left="0.7" right="0.7" top="0.75" bottom="0.75" header="0.3" footer="0.3"/>
  <pageSetup paperSize="9" scale="70" orientation="portrait" verticalDpi="30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F5FD93-147F-498E-B7B6-632FD87107E5}">
  <sheetPr>
    <pageSetUpPr fitToPage="1"/>
  </sheetPr>
  <dimension ref="B2:L34"/>
  <sheetViews>
    <sheetView topLeftCell="A12" zoomScaleNormal="100" workbookViewId="0">
      <selection activeCell="L15" sqref="L15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2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2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2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2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2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45771</v>
      </c>
      <c r="J6" s="31"/>
    </row>
    <row r="7" spans="2:12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45765</v>
      </c>
      <c r="J7" s="31"/>
    </row>
    <row r="8" spans="2:12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2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2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2" ht="29.5" customHeight="1" x14ac:dyDescent="0.3">
      <c r="B11" s="4">
        <v>1</v>
      </c>
      <c r="C11" s="33" t="s">
        <v>73</v>
      </c>
      <c r="D11" s="33"/>
      <c r="E11" s="33"/>
      <c r="F11" s="5">
        <v>1</v>
      </c>
      <c r="G11" s="19">
        <f>263.8*13</f>
        <v>3429.4</v>
      </c>
      <c r="H11" s="4" t="s">
        <v>24</v>
      </c>
      <c r="I11" s="12">
        <v>195</v>
      </c>
      <c r="J11" s="18">
        <f>F11*I11*G11</f>
        <v>668733</v>
      </c>
    </row>
    <row r="12" spans="2:12" ht="32" customHeight="1" x14ac:dyDescent="0.3">
      <c r="B12" s="4">
        <v>2</v>
      </c>
      <c r="C12" s="33" t="s">
        <v>63</v>
      </c>
      <c r="D12" s="33"/>
      <c r="E12" s="33"/>
      <c r="F12" s="5">
        <v>1</v>
      </c>
      <c r="G12" s="19">
        <f>29.75*13</f>
        <v>386.75</v>
      </c>
      <c r="H12" s="4" t="s">
        <v>24</v>
      </c>
      <c r="I12" s="12">
        <v>250</v>
      </c>
      <c r="J12" s="18">
        <f>F12*I12*G12</f>
        <v>96687.5</v>
      </c>
    </row>
    <row r="13" spans="2:12" ht="30.5" customHeight="1" x14ac:dyDescent="0.3">
      <c r="B13" s="4">
        <v>3</v>
      </c>
      <c r="C13" s="33" t="s">
        <v>74</v>
      </c>
      <c r="D13" s="33"/>
      <c r="E13" s="33"/>
      <c r="F13" s="5">
        <v>1</v>
      </c>
      <c r="G13" s="19">
        <f>270.65*13</f>
        <v>3518.45</v>
      </c>
      <c r="H13" s="4" t="s">
        <v>24</v>
      </c>
      <c r="I13" s="12">
        <v>195</v>
      </c>
      <c r="J13" s="18">
        <f>F13*I13*G13</f>
        <v>686097.75</v>
      </c>
    </row>
    <row r="14" spans="2:12" ht="31.5" customHeight="1" x14ac:dyDescent="0.3">
      <c r="B14" s="4">
        <v>4</v>
      </c>
      <c r="C14" s="33" t="s">
        <v>62</v>
      </c>
      <c r="D14" s="33"/>
      <c r="E14" s="33"/>
      <c r="F14" s="5">
        <v>1</v>
      </c>
      <c r="G14" s="19">
        <f>24.5*13</f>
        <v>318.5</v>
      </c>
      <c r="H14" s="4" t="s">
        <v>24</v>
      </c>
      <c r="I14" s="12">
        <v>250</v>
      </c>
      <c r="J14" s="18">
        <f>F14*I14*G14</f>
        <v>79625</v>
      </c>
    </row>
    <row r="15" spans="2:12" ht="17.399999999999999" customHeight="1" x14ac:dyDescent="0.35">
      <c r="B15" s="16"/>
      <c r="C15" s="28" t="s">
        <v>18</v>
      </c>
      <c r="D15" s="28"/>
      <c r="E15" s="28"/>
      <c r="F15" s="28"/>
      <c r="G15" s="28"/>
      <c r="H15" s="28"/>
      <c r="I15" s="28"/>
      <c r="J15" s="20">
        <f>SUM(J11:J14)</f>
        <v>1531143.25</v>
      </c>
      <c r="L15" s="22">
        <f>J15+'9'!J19+'8'!J18+'7'!J15+'6'!J13+'5'!J12+'4'!J19+'3'!J15+'2'!J16+'1'!J16</f>
        <v>10106353.775</v>
      </c>
    </row>
    <row r="16" spans="2:12" ht="17.399999999999999" customHeight="1" x14ac:dyDescent="0.35">
      <c r="B16" s="16"/>
      <c r="C16" s="26" t="s">
        <v>23</v>
      </c>
      <c r="D16" s="26"/>
      <c r="E16" s="26"/>
      <c r="F16" s="26"/>
      <c r="G16" s="26"/>
      <c r="H16" s="26"/>
      <c r="I16" s="26"/>
      <c r="J16" s="6">
        <v>0</v>
      </c>
    </row>
    <row r="17" spans="2:12" ht="17.399999999999999" customHeight="1" x14ac:dyDescent="0.35">
      <c r="B17" s="16"/>
      <c r="C17" s="26"/>
      <c r="D17" s="26"/>
      <c r="E17" s="26"/>
      <c r="F17" s="26"/>
      <c r="G17" s="26"/>
      <c r="H17" s="26"/>
      <c r="I17" s="26"/>
      <c r="J17" s="6"/>
      <c r="L17" s="17"/>
    </row>
    <row r="18" spans="2:12" ht="17.399999999999999" customHeight="1" x14ac:dyDescent="0.35">
      <c r="B18" s="16"/>
      <c r="C18" s="14"/>
      <c r="D18" s="14"/>
      <c r="E18" s="14"/>
      <c r="F18" s="14"/>
      <c r="G18" s="14"/>
      <c r="H18" s="14"/>
      <c r="I18" s="14"/>
      <c r="J18" s="20">
        <f>J15+J16+J17</f>
        <v>1531143.25</v>
      </c>
    </row>
    <row r="19" spans="2:12" ht="15.5" x14ac:dyDescent="0.35">
      <c r="B19" s="7"/>
      <c r="C19" s="27" t="s">
        <v>75</v>
      </c>
      <c r="D19" s="27"/>
      <c r="E19" s="27"/>
      <c r="F19" s="27"/>
      <c r="G19" s="27"/>
      <c r="H19" s="27"/>
      <c r="I19" s="27"/>
      <c r="J19" s="27"/>
    </row>
    <row r="20" spans="2:12" ht="15.5" x14ac:dyDescent="0.35">
      <c r="B20" s="16"/>
      <c r="C20" s="23" t="s">
        <v>12</v>
      </c>
      <c r="D20" s="23"/>
      <c r="E20" s="23"/>
      <c r="F20" s="7"/>
      <c r="G20" s="7"/>
      <c r="H20" s="7"/>
      <c r="I20" s="7"/>
      <c r="J20" s="8">
        <v>0</v>
      </c>
    </row>
    <row r="21" spans="2:12" ht="15.5" x14ac:dyDescent="0.35">
      <c r="B21" s="16"/>
      <c r="C21" s="23" t="s">
        <v>20</v>
      </c>
      <c r="D21" s="23"/>
      <c r="E21" s="23"/>
      <c r="F21" s="7"/>
      <c r="G21" s="7"/>
      <c r="H21" s="7"/>
      <c r="I21" s="7"/>
      <c r="J21" s="8">
        <v>0</v>
      </c>
    </row>
    <row r="22" spans="2:12" ht="15.5" x14ac:dyDescent="0.35">
      <c r="B22" s="16"/>
      <c r="C22" s="23" t="s">
        <v>13</v>
      </c>
      <c r="D22" s="23"/>
      <c r="E22" s="23"/>
      <c r="F22" s="7"/>
      <c r="G22" s="7" t="s">
        <v>19</v>
      </c>
      <c r="H22" s="7"/>
      <c r="I22" s="7"/>
      <c r="J22" s="21">
        <f>J18</f>
        <v>1531143.25</v>
      </c>
    </row>
    <row r="23" spans="2:12" ht="15.5" x14ac:dyDescent="0.35">
      <c r="B23" s="7"/>
      <c r="C23" s="23"/>
      <c r="D23" s="23"/>
      <c r="E23" s="23"/>
      <c r="F23" s="7"/>
      <c r="G23" s="7"/>
      <c r="H23" s="7"/>
      <c r="I23" s="7"/>
      <c r="J23" s="7"/>
      <c r="L23" s="10"/>
    </row>
    <row r="24" spans="2:12" x14ac:dyDescent="0.3">
      <c r="B24" s="24" t="s">
        <v>14</v>
      </c>
      <c r="C24" s="24"/>
      <c r="D24" s="24"/>
      <c r="E24" s="24"/>
      <c r="F24" s="24"/>
      <c r="G24" s="24"/>
      <c r="H24" s="24"/>
      <c r="I24" s="24"/>
      <c r="J24" s="24"/>
    </row>
    <row r="25" spans="2:12" x14ac:dyDescent="0.3">
      <c r="B25" s="24"/>
      <c r="C25" s="24"/>
      <c r="D25" s="24"/>
      <c r="E25" s="24"/>
      <c r="F25" s="24"/>
      <c r="G25" s="24"/>
      <c r="H25" s="24"/>
      <c r="I25" s="24"/>
      <c r="J25" s="24"/>
    </row>
    <row r="26" spans="2:12" x14ac:dyDescent="0.3">
      <c r="B26" s="24"/>
      <c r="C26" s="24"/>
      <c r="D26" s="24"/>
      <c r="E26" s="24"/>
      <c r="F26" s="24"/>
      <c r="G26" s="24"/>
      <c r="H26" s="24"/>
      <c r="I26" s="24"/>
      <c r="J26" s="24"/>
    </row>
    <row r="29" spans="2:12" ht="14.15" customHeight="1" x14ac:dyDescent="0.3">
      <c r="B29" s="25" t="s">
        <v>15</v>
      </c>
      <c r="C29" s="25"/>
      <c r="D29" s="25"/>
      <c r="E29" s="25"/>
      <c r="F29" s="25"/>
      <c r="G29" s="25"/>
      <c r="H29" s="25"/>
      <c r="I29" s="25"/>
      <c r="J29" s="25"/>
    </row>
    <row r="30" spans="2:12" ht="14.15" customHeight="1" x14ac:dyDescent="0.3">
      <c r="B30" s="25"/>
      <c r="C30" s="25"/>
      <c r="D30" s="25"/>
      <c r="E30" s="25"/>
      <c r="F30" s="25"/>
      <c r="G30" s="25"/>
      <c r="H30" s="25"/>
      <c r="I30" s="25"/>
      <c r="J30" s="25"/>
    </row>
    <row r="31" spans="2:12" x14ac:dyDescent="0.3">
      <c r="B31" s="25"/>
      <c r="C31" s="25"/>
      <c r="D31" s="25"/>
      <c r="E31" s="25"/>
      <c r="F31" s="25"/>
      <c r="G31" s="25"/>
      <c r="H31" s="25"/>
      <c r="I31" s="25"/>
      <c r="J31" s="25"/>
    </row>
    <row r="32" spans="2:12" x14ac:dyDescent="0.3">
      <c r="B32" s="25"/>
      <c r="C32" s="25"/>
      <c r="D32" s="25"/>
      <c r="E32" s="25"/>
      <c r="F32" s="25"/>
      <c r="G32" s="25"/>
      <c r="H32" s="25"/>
      <c r="I32" s="25"/>
      <c r="J32" s="25"/>
    </row>
    <row r="33" spans="2:10" ht="15.5" x14ac:dyDescent="0.35">
      <c r="B33" s="7"/>
      <c r="C33" s="7"/>
      <c r="D33" s="7"/>
      <c r="E33" s="7"/>
      <c r="F33" s="7"/>
      <c r="G33" s="7"/>
      <c r="H33" s="7"/>
      <c r="I33" s="7"/>
      <c r="J33" s="7"/>
    </row>
    <row r="34" spans="2:10" ht="15.5" x14ac:dyDescent="0.35">
      <c r="B34" s="7"/>
      <c r="C34" s="7"/>
      <c r="D34" s="7"/>
      <c r="E34" s="7"/>
      <c r="F34" s="7"/>
      <c r="G34" s="7"/>
      <c r="H34" s="7"/>
      <c r="I34" s="7"/>
      <c r="J34" s="7"/>
    </row>
  </sheetData>
  <mergeCells count="30">
    <mergeCell ref="B31:J32"/>
    <mergeCell ref="C15:I15"/>
    <mergeCell ref="C16:I16"/>
    <mergeCell ref="C17:I17"/>
    <mergeCell ref="C19:J19"/>
    <mergeCell ref="C20:E20"/>
    <mergeCell ref="C21:E21"/>
    <mergeCell ref="C22:E22"/>
    <mergeCell ref="C23:E23"/>
    <mergeCell ref="B24:J26"/>
    <mergeCell ref="B29:J30"/>
    <mergeCell ref="C14:E14"/>
    <mergeCell ref="B6:G6"/>
    <mergeCell ref="I6:J6"/>
    <mergeCell ref="B7:C7"/>
    <mergeCell ref="D7:G7"/>
    <mergeCell ref="I7:J7"/>
    <mergeCell ref="B8:C8"/>
    <mergeCell ref="D8:J8"/>
    <mergeCell ref="B9:J9"/>
    <mergeCell ref="C10:E10"/>
    <mergeCell ref="C11:E11"/>
    <mergeCell ref="C12:E12"/>
    <mergeCell ref="C13:E13"/>
    <mergeCell ref="B2:J2"/>
    <mergeCell ref="B4:C4"/>
    <mergeCell ref="D4:G4"/>
    <mergeCell ref="H4:I4"/>
    <mergeCell ref="B5:C5"/>
    <mergeCell ref="D5:J5"/>
  </mergeCells>
  <pageMargins left="0.7" right="0.7" top="0.75" bottom="0.75" header="0.3" footer="0.3"/>
  <pageSetup paperSize="9" scale="70" orientation="portrait" verticalDpi="30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6BB4C-D98A-4DD5-8F7B-711D5BD64364}">
  <sheetPr>
    <pageSetUpPr fitToPage="1"/>
  </sheetPr>
  <dimension ref="B2:L45"/>
  <sheetViews>
    <sheetView tabSelected="1" topLeftCell="A22" zoomScaleNormal="100" workbookViewId="0">
      <selection activeCell="L26" sqref="L26"/>
    </sheetView>
  </sheetViews>
  <sheetFormatPr defaultColWidth="8.6328125" defaultRowHeight="14" x14ac:dyDescent="0.3"/>
  <cols>
    <col min="1" max="1" width="8.6328125" style="1"/>
    <col min="2" max="2" width="5.36328125" style="1" customWidth="1"/>
    <col min="3" max="3" width="12.453125" style="1" customWidth="1"/>
    <col min="4" max="4" width="9.90625" style="1" customWidth="1"/>
    <col min="5" max="5" width="32.90625" style="1" customWidth="1"/>
    <col min="6" max="6" width="11.453125" style="1" customWidth="1"/>
    <col min="7" max="7" width="11" style="1" bestFit="1" customWidth="1"/>
    <col min="8" max="8" width="10.453125" style="1" customWidth="1"/>
    <col min="9" max="9" width="8.54296875" style="1" customWidth="1"/>
    <col min="10" max="10" width="13.90625" style="1" customWidth="1"/>
    <col min="11" max="11" width="8.6328125" style="1"/>
    <col min="12" max="12" width="11.36328125" style="1" bestFit="1" customWidth="1"/>
    <col min="13" max="13" width="12.36328125" style="1" bestFit="1" customWidth="1"/>
    <col min="14" max="16384" width="8.6328125" style="1"/>
  </cols>
  <sheetData>
    <row r="2" spans="2:10" ht="17.5" x14ac:dyDescent="0.35">
      <c r="B2" s="35" t="s">
        <v>0</v>
      </c>
      <c r="C2" s="35"/>
      <c r="D2" s="35"/>
      <c r="E2" s="35"/>
      <c r="F2" s="35"/>
      <c r="G2" s="35"/>
      <c r="H2" s="35"/>
      <c r="I2" s="35"/>
      <c r="J2" s="35"/>
    </row>
    <row r="3" spans="2:10" ht="39" customHeight="1" x14ac:dyDescent="0.35">
      <c r="B3" s="15"/>
      <c r="C3" s="15"/>
      <c r="D3" s="15"/>
      <c r="E3" s="15"/>
      <c r="F3" s="15"/>
      <c r="G3" s="15"/>
      <c r="H3" s="15"/>
      <c r="I3" s="15"/>
      <c r="J3" s="15"/>
    </row>
    <row r="4" spans="2:10" ht="15.65" customHeight="1" x14ac:dyDescent="0.35">
      <c r="B4" s="36" t="s">
        <v>16</v>
      </c>
      <c r="C4" s="36"/>
      <c r="D4" s="23" t="s">
        <v>26</v>
      </c>
      <c r="E4" s="23"/>
      <c r="F4" s="23"/>
      <c r="G4" s="23"/>
      <c r="H4" s="37" t="s">
        <v>22</v>
      </c>
      <c r="I4" s="37"/>
      <c r="J4" s="7"/>
    </row>
    <row r="5" spans="2:10" ht="18.899999999999999" customHeight="1" x14ac:dyDescent="0.3">
      <c r="B5" s="25" t="s">
        <v>1</v>
      </c>
      <c r="C5" s="25"/>
      <c r="D5" s="24" t="s">
        <v>27</v>
      </c>
      <c r="E5" s="24"/>
      <c r="F5" s="24"/>
      <c r="G5" s="24"/>
      <c r="H5" s="24"/>
      <c r="I5" s="24"/>
      <c r="J5" s="24"/>
    </row>
    <row r="6" spans="2:10" ht="30.9" customHeight="1" x14ac:dyDescent="0.35">
      <c r="B6" s="29" t="s">
        <v>25</v>
      </c>
      <c r="C6" s="29"/>
      <c r="D6" s="29"/>
      <c r="E6" s="29"/>
      <c r="F6" s="29"/>
      <c r="G6" s="29"/>
      <c r="H6" s="9" t="s">
        <v>2</v>
      </c>
      <c r="I6" s="30">
        <v>45892</v>
      </c>
      <c r="J6" s="31"/>
    </row>
    <row r="7" spans="2:10" ht="20.149999999999999" customHeight="1" x14ac:dyDescent="0.3">
      <c r="B7" s="32" t="s">
        <v>3</v>
      </c>
      <c r="C7" s="32"/>
      <c r="D7" s="33" t="s">
        <v>28</v>
      </c>
      <c r="E7" s="33"/>
      <c r="F7" s="33"/>
      <c r="G7" s="33"/>
      <c r="H7" s="3" t="s">
        <v>17</v>
      </c>
      <c r="I7" s="30">
        <v>45834</v>
      </c>
      <c r="J7" s="31"/>
    </row>
    <row r="8" spans="2:10" ht="18.899999999999999" customHeight="1" x14ac:dyDescent="0.3">
      <c r="B8" s="25" t="s">
        <v>5</v>
      </c>
      <c r="C8" s="25"/>
      <c r="D8" s="24" t="s">
        <v>28</v>
      </c>
      <c r="E8" s="24"/>
      <c r="F8" s="24"/>
      <c r="G8" s="24"/>
      <c r="H8" s="24"/>
      <c r="I8" s="24"/>
      <c r="J8" s="24"/>
    </row>
    <row r="9" spans="2:10" ht="20.399999999999999" customHeight="1" x14ac:dyDescent="0.3">
      <c r="B9" s="25" t="s">
        <v>4</v>
      </c>
      <c r="C9" s="25"/>
      <c r="D9" s="25"/>
      <c r="E9" s="25"/>
      <c r="F9" s="25"/>
      <c r="G9" s="25"/>
      <c r="H9" s="25"/>
      <c r="I9" s="25"/>
      <c r="J9" s="25"/>
    </row>
    <row r="10" spans="2:10" ht="30" x14ac:dyDescent="0.3">
      <c r="B10" s="2" t="s">
        <v>11</v>
      </c>
      <c r="C10" s="34" t="s">
        <v>6</v>
      </c>
      <c r="D10" s="34"/>
      <c r="E10" s="34"/>
      <c r="F10" s="3" t="s">
        <v>7</v>
      </c>
      <c r="G10" s="13" t="s">
        <v>8</v>
      </c>
      <c r="H10" s="13" t="s">
        <v>9</v>
      </c>
      <c r="I10" s="2" t="s">
        <v>21</v>
      </c>
      <c r="J10" s="14" t="s">
        <v>10</v>
      </c>
    </row>
    <row r="11" spans="2:10" ht="29.5" customHeight="1" x14ac:dyDescent="0.3">
      <c r="B11" s="4">
        <v>1</v>
      </c>
      <c r="C11" s="33" t="s">
        <v>76</v>
      </c>
      <c r="D11" s="33"/>
      <c r="E11" s="33"/>
      <c r="F11" s="5">
        <v>1</v>
      </c>
      <c r="G11" s="19">
        <v>45</v>
      </c>
      <c r="H11" s="4" t="s">
        <v>24</v>
      </c>
      <c r="I11" s="12">
        <v>400</v>
      </c>
      <c r="J11" s="18">
        <f t="shared" ref="J11:J25" si="0">F11*I11*G11</f>
        <v>18000</v>
      </c>
    </row>
    <row r="12" spans="2:10" ht="32" customHeight="1" x14ac:dyDescent="0.3">
      <c r="B12" s="4">
        <v>2</v>
      </c>
      <c r="C12" s="33" t="s">
        <v>77</v>
      </c>
      <c r="D12" s="33"/>
      <c r="E12" s="33"/>
      <c r="F12" s="5">
        <v>1</v>
      </c>
      <c r="G12" s="19">
        <v>45</v>
      </c>
      <c r="H12" s="4" t="s">
        <v>24</v>
      </c>
      <c r="I12" s="12">
        <v>40</v>
      </c>
      <c r="J12" s="18">
        <f t="shared" si="0"/>
        <v>1800</v>
      </c>
    </row>
    <row r="13" spans="2:10" ht="30.5" customHeight="1" x14ac:dyDescent="0.3">
      <c r="B13" s="4">
        <v>3</v>
      </c>
      <c r="C13" s="33" t="s">
        <v>78</v>
      </c>
      <c r="D13" s="33"/>
      <c r="E13" s="33"/>
      <c r="F13" s="5">
        <v>1</v>
      </c>
      <c r="G13" s="19">
        <v>1</v>
      </c>
      <c r="H13" s="4" t="s">
        <v>79</v>
      </c>
      <c r="I13" s="12">
        <v>1200</v>
      </c>
      <c r="J13" s="18">
        <f t="shared" si="0"/>
        <v>1200</v>
      </c>
    </row>
    <row r="14" spans="2:10" ht="31.5" customHeight="1" x14ac:dyDescent="0.3">
      <c r="B14" s="4">
        <v>4</v>
      </c>
      <c r="C14" s="33" t="s">
        <v>80</v>
      </c>
      <c r="D14" s="33"/>
      <c r="E14" s="33"/>
      <c r="F14" s="5">
        <v>1</v>
      </c>
      <c r="G14" s="19">
        <v>56</v>
      </c>
      <c r="H14" s="4" t="s">
        <v>24</v>
      </c>
      <c r="I14" s="12">
        <v>300</v>
      </c>
      <c r="J14" s="18">
        <f t="shared" si="0"/>
        <v>16800</v>
      </c>
    </row>
    <row r="15" spans="2:10" ht="29.5" customHeight="1" x14ac:dyDescent="0.3">
      <c r="B15" s="4">
        <v>5</v>
      </c>
      <c r="C15" s="33" t="s">
        <v>81</v>
      </c>
      <c r="D15" s="33"/>
      <c r="E15" s="33"/>
      <c r="F15" s="5">
        <v>1</v>
      </c>
      <c r="G15" s="19">
        <v>56</v>
      </c>
      <c r="H15" s="4" t="s">
        <v>24</v>
      </c>
      <c r="I15" s="12">
        <v>300</v>
      </c>
      <c r="J15" s="18">
        <f t="shared" si="0"/>
        <v>16800</v>
      </c>
    </row>
    <row r="16" spans="2:10" ht="32" customHeight="1" x14ac:dyDescent="0.3">
      <c r="B16" s="4">
        <v>6</v>
      </c>
      <c r="C16" s="33" t="s">
        <v>82</v>
      </c>
      <c r="D16" s="33"/>
      <c r="E16" s="33"/>
      <c r="F16" s="5">
        <v>1</v>
      </c>
      <c r="G16" s="19">
        <v>152.875</v>
      </c>
      <c r="H16" s="4" t="s">
        <v>24</v>
      </c>
      <c r="I16" s="12">
        <v>300</v>
      </c>
      <c r="J16" s="18">
        <f t="shared" si="0"/>
        <v>45862.5</v>
      </c>
    </row>
    <row r="17" spans="2:12" ht="30.5" customHeight="1" x14ac:dyDescent="0.3">
      <c r="B17" s="4">
        <v>7</v>
      </c>
      <c r="C17" s="33" t="s">
        <v>83</v>
      </c>
      <c r="D17" s="33"/>
      <c r="E17" s="33"/>
      <c r="F17" s="5">
        <v>1</v>
      </c>
      <c r="G17" s="19">
        <v>1</v>
      </c>
      <c r="H17" s="4" t="s">
        <v>55</v>
      </c>
      <c r="I17" s="12">
        <v>2000</v>
      </c>
      <c r="J17" s="18">
        <f t="shared" si="0"/>
        <v>2000</v>
      </c>
    </row>
    <row r="18" spans="2:12" ht="31.5" customHeight="1" x14ac:dyDescent="0.3">
      <c r="B18" s="4">
        <v>8</v>
      </c>
      <c r="C18" s="33" t="s">
        <v>84</v>
      </c>
      <c r="D18" s="33"/>
      <c r="E18" s="33"/>
      <c r="F18" s="5">
        <v>1</v>
      </c>
      <c r="G18" s="19">
        <v>1</v>
      </c>
      <c r="H18" s="4" t="s">
        <v>55</v>
      </c>
      <c r="I18" s="12">
        <v>2000</v>
      </c>
      <c r="J18" s="18">
        <f t="shared" si="0"/>
        <v>2000</v>
      </c>
    </row>
    <row r="19" spans="2:12" ht="32" customHeight="1" x14ac:dyDescent="0.3">
      <c r="B19" s="4">
        <v>9</v>
      </c>
      <c r="C19" s="33" t="s">
        <v>85</v>
      </c>
      <c r="D19" s="33"/>
      <c r="E19" s="33"/>
      <c r="F19" s="5">
        <v>1</v>
      </c>
      <c r="G19" s="19">
        <v>12.5</v>
      </c>
      <c r="H19" s="4" t="s">
        <v>24</v>
      </c>
      <c r="I19" s="12">
        <v>300</v>
      </c>
      <c r="J19" s="18">
        <f t="shared" si="0"/>
        <v>3750</v>
      </c>
    </row>
    <row r="20" spans="2:12" ht="30.5" customHeight="1" x14ac:dyDescent="0.3">
      <c r="B20" s="4">
        <v>10</v>
      </c>
      <c r="C20" s="33" t="s">
        <v>86</v>
      </c>
      <c r="D20" s="33"/>
      <c r="E20" s="33"/>
      <c r="F20" s="5">
        <v>1</v>
      </c>
      <c r="G20" s="19">
        <v>1638</v>
      </c>
      <c r="H20" s="4" t="s">
        <v>24</v>
      </c>
      <c r="I20" s="12">
        <v>70</v>
      </c>
      <c r="J20" s="18">
        <f t="shared" si="0"/>
        <v>114660</v>
      </c>
    </row>
    <row r="21" spans="2:12" ht="31.5" customHeight="1" x14ac:dyDescent="0.3">
      <c r="B21" s="4">
        <v>11</v>
      </c>
      <c r="C21" s="33" t="s">
        <v>91</v>
      </c>
      <c r="D21" s="33"/>
      <c r="E21" s="33"/>
      <c r="F21" s="5">
        <v>1</v>
      </c>
      <c r="G21" s="19">
        <v>1638</v>
      </c>
      <c r="H21" s="4" t="s">
        <v>24</v>
      </c>
      <c r="I21" s="12">
        <v>10</v>
      </c>
      <c r="J21" s="18">
        <f t="shared" si="0"/>
        <v>16380</v>
      </c>
    </row>
    <row r="22" spans="2:12" ht="31.5" customHeight="1" x14ac:dyDescent="0.3">
      <c r="B22" s="4">
        <v>12</v>
      </c>
      <c r="C22" s="33" t="s">
        <v>87</v>
      </c>
      <c r="D22" s="33"/>
      <c r="E22" s="33"/>
      <c r="F22" s="5">
        <v>1</v>
      </c>
      <c r="G22" s="19">
        <v>1</v>
      </c>
      <c r="H22" s="4" t="s">
        <v>79</v>
      </c>
      <c r="I22" s="12">
        <v>2000</v>
      </c>
      <c r="J22" s="18">
        <f t="shared" si="0"/>
        <v>2000</v>
      </c>
    </row>
    <row r="23" spans="2:12" ht="29.5" customHeight="1" x14ac:dyDescent="0.3">
      <c r="B23" s="4">
        <v>13</v>
      </c>
      <c r="C23" s="33" t="s">
        <v>88</v>
      </c>
      <c r="D23" s="33"/>
      <c r="E23" s="33"/>
      <c r="F23" s="5">
        <v>1</v>
      </c>
      <c r="G23" s="19">
        <v>-800</v>
      </c>
      <c r="H23" s="4" t="s">
        <v>24</v>
      </c>
      <c r="I23" s="12">
        <v>45</v>
      </c>
      <c r="J23" s="18">
        <f t="shared" si="0"/>
        <v>-36000</v>
      </c>
    </row>
    <row r="24" spans="2:12" ht="32" customHeight="1" x14ac:dyDescent="0.3">
      <c r="B24" s="4">
        <v>14</v>
      </c>
      <c r="C24" s="33" t="s">
        <v>89</v>
      </c>
      <c r="D24" s="33"/>
      <c r="E24" s="33"/>
      <c r="F24" s="5">
        <v>1</v>
      </c>
      <c r="G24" s="19">
        <v>436.5</v>
      </c>
      <c r="H24" s="4" t="s">
        <v>24</v>
      </c>
      <c r="I24" s="12">
        <v>200</v>
      </c>
      <c r="J24" s="18">
        <f t="shared" si="0"/>
        <v>87300</v>
      </c>
    </row>
    <row r="25" spans="2:12" ht="30.5" customHeight="1" x14ac:dyDescent="0.3">
      <c r="B25" s="4">
        <v>15</v>
      </c>
      <c r="C25" s="33" t="s">
        <v>90</v>
      </c>
      <c r="D25" s="33"/>
      <c r="E25" s="33"/>
      <c r="F25" s="5">
        <v>1</v>
      </c>
      <c r="G25" s="19">
        <v>1</v>
      </c>
      <c r="H25" s="4" t="s">
        <v>79</v>
      </c>
      <c r="I25" s="12">
        <v>2000</v>
      </c>
      <c r="J25" s="18">
        <f t="shared" si="0"/>
        <v>2000</v>
      </c>
    </row>
    <row r="26" spans="2:12" ht="17.399999999999999" customHeight="1" x14ac:dyDescent="0.35">
      <c r="B26" s="16"/>
      <c r="C26" s="28" t="s">
        <v>18</v>
      </c>
      <c r="D26" s="28"/>
      <c r="E26" s="28"/>
      <c r="F26" s="28"/>
      <c r="G26" s="28"/>
      <c r="H26" s="28"/>
      <c r="I26" s="28"/>
      <c r="J26" s="20">
        <f>SUM(J11:J25)</f>
        <v>294552.5</v>
      </c>
      <c r="L26" s="22">
        <f>J26+'9'!J19+'8'!J18+'7'!J15+'6'!J13+'5'!J12+'4'!J19+'3'!J15+'2'!J16+'1'!J16+'10'!J18</f>
        <v>10400906.275</v>
      </c>
    </row>
    <row r="27" spans="2:12" ht="17.399999999999999" customHeight="1" x14ac:dyDescent="0.35">
      <c r="B27" s="16"/>
      <c r="C27" s="26" t="s">
        <v>23</v>
      </c>
      <c r="D27" s="26"/>
      <c r="E27" s="26"/>
      <c r="F27" s="26"/>
      <c r="G27" s="26"/>
      <c r="H27" s="26"/>
      <c r="I27" s="26"/>
      <c r="J27" s="6">
        <v>0</v>
      </c>
    </row>
    <row r="28" spans="2:12" ht="17.399999999999999" customHeight="1" x14ac:dyDescent="0.35">
      <c r="B28" s="16"/>
      <c r="C28" s="26"/>
      <c r="D28" s="26"/>
      <c r="E28" s="26"/>
      <c r="F28" s="26"/>
      <c r="G28" s="26"/>
      <c r="H28" s="26"/>
      <c r="I28" s="26"/>
      <c r="J28" s="6"/>
      <c r="L28" s="17"/>
    </row>
    <row r="29" spans="2:12" ht="17.399999999999999" customHeight="1" x14ac:dyDescent="0.35">
      <c r="B29" s="16"/>
      <c r="C29" s="14"/>
      <c r="D29" s="14"/>
      <c r="E29" s="14"/>
      <c r="F29" s="14"/>
      <c r="G29" s="14"/>
      <c r="H29" s="14"/>
      <c r="I29" s="14"/>
      <c r="J29" s="20">
        <f>J26+J27+J28</f>
        <v>294552.5</v>
      </c>
    </row>
    <row r="30" spans="2:12" ht="15.5" x14ac:dyDescent="0.35">
      <c r="B30" s="7"/>
      <c r="C30" s="27" t="s">
        <v>92</v>
      </c>
      <c r="D30" s="27"/>
      <c r="E30" s="27"/>
      <c r="F30" s="27"/>
      <c r="G30" s="27"/>
      <c r="H30" s="27"/>
      <c r="I30" s="27"/>
      <c r="J30" s="27"/>
    </row>
    <row r="31" spans="2:12" ht="15.5" x14ac:dyDescent="0.35">
      <c r="B31" s="16"/>
      <c r="C31" s="23" t="s">
        <v>12</v>
      </c>
      <c r="D31" s="23"/>
      <c r="E31" s="23"/>
      <c r="F31" s="7"/>
      <c r="G31" s="7"/>
      <c r="H31" s="7"/>
      <c r="I31" s="7"/>
      <c r="J31" s="8">
        <v>0</v>
      </c>
    </row>
    <row r="32" spans="2:12" ht="15.5" x14ac:dyDescent="0.35">
      <c r="B32" s="16"/>
      <c r="C32" s="23" t="s">
        <v>20</v>
      </c>
      <c r="D32" s="23"/>
      <c r="E32" s="23"/>
      <c r="F32" s="7"/>
      <c r="G32" s="7"/>
      <c r="H32" s="7"/>
      <c r="I32" s="7"/>
      <c r="J32" s="8">
        <v>0</v>
      </c>
    </row>
    <row r="33" spans="2:12" ht="15.5" x14ac:dyDescent="0.35">
      <c r="B33" s="16"/>
      <c r="C33" s="23" t="s">
        <v>13</v>
      </c>
      <c r="D33" s="23"/>
      <c r="E33" s="23"/>
      <c r="F33" s="7"/>
      <c r="G33" s="7" t="s">
        <v>19</v>
      </c>
      <c r="H33" s="7"/>
      <c r="I33" s="7"/>
      <c r="J33" s="21">
        <f>J29</f>
        <v>294552.5</v>
      </c>
    </row>
    <row r="34" spans="2:12" ht="15.5" x14ac:dyDescent="0.35">
      <c r="B34" s="7"/>
      <c r="C34" s="23"/>
      <c r="D34" s="23"/>
      <c r="E34" s="23"/>
      <c r="F34" s="7"/>
      <c r="G34" s="7"/>
      <c r="H34" s="7"/>
      <c r="I34" s="7"/>
      <c r="J34" s="7"/>
      <c r="L34" s="10"/>
    </row>
    <row r="35" spans="2:12" x14ac:dyDescent="0.3">
      <c r="B35" s="24" t="s">
        <v>14</v>
      </c>
      <c r="C35" s="24"/>
      <c r="D35" s="24"/>
      <c r="E35" s="24"/>
      <c r="F35" s="24"/>
      <c r="G35" s="24"/>
      <c r="H35" s="24"/>
      <c r="I35" s="24"/>
      <c r="J35" s="24"/>
    </row>
    <row r="36" spans="2:12" x14ac:dyDescent="0.3">
      <c r="B36" s="24"/>
      <c r="C36" s="24"/>
      <c r="D36" s="24"/>
      <c r="E36" s="24"/>
      <c r="F36" s="24"/>
      <c r="G36" s="24"/>
      <c r="H36" s="24"/>
      <c r="I36" s="24"/>
      <c r="J36" s="24"/>
    </row>
    <row r="37" spans="2:12" x14ac:dyDescent="0.3">
      <c r="B37" s="24"/>
      <c r="C37" s="24"/>
      <c r="D37" s="24"/>
      <c r="E37" s="24"/>
      <c r="F37" s="24"/>
      <c r="G37" s="24"/>
      <c r="H37" s="24"/>
      <c r="I37" s="24"/>
      <c r="J37" s="24"/>
    </row>
    <row r="40" spans="2:12" ht="14.15" customHeight="1" x14ac:dyDescent="0.3">
      <c r="B40" s="25" t="s">
        <v>15</v>
      </c>
      <c r="C40" s="25"/>
      <c r="D40" s="25"/>
      <c r="E40" s="25"/>
      <c r="F40" s="25"/>
      <c r="G40" s="25"/>
      <c r="H40" s="25"/>
      <c r="I40" s="25"/>
      <c r="J40" s="25"/>
    </row>
    <row r="41" spans="2:12" ht="14.15" customHeight="1" x14ac:dyDescent="0.3">
      <c r="B41" s="25"/>
      <c r="C41" s="25"/>
      <c r="D41" s="25"/>
      <c r="E41" s="25"/>
      <c r="F41" s="25"/>
      <c r="G41" s="25"/>
      <c r="H41" s="25"/>
      <c r="I41" s="25"/>
      <c r="J41" s="25"/>
    </row>
    <row r="42" spans="2:12" x14ac:dyDescent="0.3">
      <c r="B42" s="25"/>
      <c r="C42" s="25"/>
      <c r="D42" s="25"/>
      <c r="E42" s="25"/>
      <c r="F42" s="25"/>
      <c r="G42" s="25"/>
      <c r="H42" s="25"/>
      <c r="I42" s="25"/>
      <c r="J42" s="25"/>
    </row>
    <row r="43" spans="2:12" x14ac:dyDescent="0.3">
      <c r="B43" s="25"/>
      <c r="C43" s="25"/>
      <c r="D43" s="25"/>
      <c r="E43" s="25"/>
      <c r="F43" s="25"/>
      <c r="G43" s="25"/>
      <c r="H43" s="25"/>
      <c r="I43" s="25"/>
      <c r="J43" s="25"/>
    </row>
    <row r="44" spans="2:12" ht="15.5" x14ac:dyDescent="0.35">
      <c r="B44" s="7"/>
      <c r="C44" s="7"/>
      <c r="D44" s="7"/>
      <c r="E44" s="7"/>
      <c r="F44" s="7"/>
      <c r="G44" s="7"/>
      <c r="H44" s="7"/>
      <c r="I44" s="7"/>
      <c r="J44" s="7"/>
    </row>
    <row r="45" spans="2:12" ht="15.5" x14ac:dyDescent="0.35">
      <c r="B45" s="7"/>
      <c r="C45" s="7"/>
      <c r="D45" s="7"/>
      <c r="E45" s="7"/>
      <c r="F45" s="7"/>
      <c r="G45" s="7"/>
      <c r="H45" s="7"/>
      <c r="I45" s="7"/>
      <c r="J45" s="7"/>
    </row>
  </sheetData>
  <mergeCells count="41">
    <mergeCell ref="B8:C8"/>
    <mergeCell ref="D8:J8"/>
    <mergeCell ref="B2:J2"/>
    <mergeCell ref="B4:C4"/>
    <mergeCell ref="D4:G4"/>
    <mergeCell ref="H4:I4"/>
    <mergeCell ref="B5:C5"/>
    <mergeCell ref="D5:J5"/>
    <mergeCell ref="B6:G6"/>
    <mergeCell ref="I6:J6"/>
    <mergeCell ref="B7:C7"/>
    <mergeCell ref="D7:G7"/>
    <mergeCell ref="I7:J7"/>
    <mergeCell ref="B9:J9"/>
    <mergeCell ref="C10:E10"/>
    <mergeCell ref="C23:E23"/>
    <mergeCell ref="C24:E24"/>
    <mergeCell ref="C25:E25"/>
    <mergeCell ref="C13:E13"/>
    <mergeCell ref="C14:E14"/>
    <mergeCell ref="C15:E15"/>
    <mergeCell ref="C16:E16"/>
    <mergeCell ref="B35:J37"/>
    <mergeCell ref="B40:J41"/>
    <mergeCell ref="B42:J43"/>
    <mergeCell ref="C11:E11"/>
    <mergeCell ref="C19:E19"/>
    <mergeCell ref="C20:E20"/>
    <mergeCell ref="C22:E22"/>
    <mergeCell ref="C12:E12"/>
    <mergeCell ref="C26:I26"/>
    <mergeCell ref="C27:I27"/>
    <mergeCell ref="C28:I28"/>
    <mergeCell ref="C30:J30"/>
    <mergeCell ref="C31:E31"/>
    <mergeCell ref="C32:E32"/>
    <mergeCell ref="C17:E17"/>
    <mergeCell ref="C18:E18"/>
    <mergeCell ref="C21:E21"/>
    <mergeCell ref="C33:E33"/>
    <mergeCell ref="C34:E34"/>
  </mergeCells>
  <pageMargins left="0.7" right="0.7" top="0.75" bottom="0.75" header="0.3" footer="0.3"/>
  <pageSetup paperSize="9" scale="60" orientation="portrait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tejas jasani</cp:lastModifiedBy>
  <cp:lastPrinted>2025-08-23T10:44:59Z</cp:lastPrinted>
  <dcterms:created xsi:type="dcterms:W3CDTF">2017-06-28T08:31:23Z</dcterms:created>
  <dcterms:modified xsi:type="dcterms:W3CDTF">2025-11-11T10:07:58Z</dcterms:modified>
</cp:coreProperties>
</file>