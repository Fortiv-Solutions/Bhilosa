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1C40B662-AF05-4EB5-A321-26C690C3805A}" xr6:coauthVersionLast="47" xr6:coauthVersionMax="47" xr10:uidLastSave="{00000000-0000-0000-0000-000000000000}"/>
  <bookViews>
    <workbookView xWindow="-110" yWindow="-110" windowWidth="19420" windowHeight="10300" activeTab="11" xr2:uid="{00000000-000D-0000-FFFF-FFFF00000000}"/>
  </bookViews>
  <sheets>
    <sheet name="1" sheetId="22" r:id="rId1"/>
    <sheet name="2" sheetId="23" r:id="rId2"/>
    <sheet name="3" sheetId="25" r:id="rId3"/>
    <sheet name="4" sheetId="26" r:id="rId4"/>
    <sheet name="5" sheetId="27" r:id="rId5"/>
    <sheet name="6" sheetId="28" r:id="rId6"/>
    <sheet name="7" sheetId="29" r:id="rId7"/>
    <sheet name="8" sheetId="30" r:id="rId8"/>
    <sheet name="9" sheetId="31" r:id="rId9"/>
    <sheet name="10" sheetId="32" r:id="rId10"/>
    <sheet name="11" sheetId="33" r:id="rId11"/>
    <sheet name="12" sheetId="34" r:id="rId12"/>
    <sheet name="13" sheetId="35" r:id="rId13"/>
    <sheet name="14" sheetId="3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34" l="1"/>
  <c r="K31" i="33"/>
  <c r="J17" i="36"/>
  <c r="J15" i="36"/>
  <c r="J14" i="36"/>
  <c r="I13" i="36"/>
  <c r="J13" i="36" s="1"/>
  <c r="I12" i="36"/>
  <c r="J12" i="36" s="1"/>
  <c r="J16" i="36"/>
  <c r="J18" i="36"/>
  <c r="J12" i="35"/>
  <c r="G20" i="34"/>
  <c r="J20" i="34" s="1"/>
  <c r="J29" i="34"/>
  <c r="J24" i="34"/>
  <c r="J23" i="34"/>
  <c r="J22" i="34"/>
  <c r="J21" i="34"/>
  <c r="J18" i="34"/>
  <c r="J17" i="34"/>
  <c r="J16" i="34"/>
  <c r="J15" i="34"/>
  <c r="J14" i="34"/>
  <c r="J26" i="34"/>
  <c r="J25" i="34"/>
  <c r="J13" i="34"/>
  <c r="J12" i="34"/>
  <c r="J27" i="34"/>
  <c r="J30" i="34"/>
  <c r="J28" i="34"/>
  <c r="J19" i="36" l="1"/>
  <c r="J22" i="36"/>
  <c r="J26" i="36" s="1"/>
  <c r="J13" i="35"/>
  <c r="J16" i="35" s="1"/>
  <c r="J20" i="35" s="1"/>
  <c r="J31" i="34"/>
  <c r="J34" i="34" s="1"/>
  <c r="J38" i="34" s="1"/>
  <c r="J19" i="33"/>
  <c r="J15" i="33"/>
  <c r="J14" i="33"/>
  <c r="J13" i="33"/>
  <c r="J12" i="33"/>
  <c r="J17" i="33"/>
  <c r="J16" i="33"/>
  <c r="J18" i="33"/>
  <c r="J13" i="32"/>
  <c r="J12" i="32"/>
  <c r="J14" i="32" s="1"/>
  <c r="J17" i="32" s="1"/>
  <c r="J21" i="32" s="1"/>
  <c r="J16" i="31"/>
  <c r="J15" i="31"/>
  <c r="J14" i="31"/>
  <c r="J17" i="31"/>
  <c r="J18" i="31"/>
  <c r="J19" i="31"/>
  <c r="J13" i="31"/>
  <c r="J12" i="31"/>
  <c r="I13" i="30"/>
  <c r="J13" i="30" s="1"/>
  <c r="I14" i="30"/>
  <c r="J14" i="30"/>
  <c r="I12" i="30"/>
  <c r="J12" i="30" s="1"/>
  <c r="I14" i="29"/>
  <c r="J14" i="29" s="1"/>
  <c r="I15" i="29"/>
  <c r="J15" i="29" s="1"/>
  <c r="I13" i="29"/>
  <c r="J13" i="29" s="1"/>
  <c r="I12" i="29"/>
  <c r="J12" i="29" s="1"/>
  <c r="I15" i="28"/>
  <c r="I14" i="28"/>
  <c r="J14" i="28" s="1"/>
  <c r="I13" i="28"/>
  <c r="I12" i="28"/>
  <c r="J22" i="33" l="1"/>
  <c r="J26" i="33" s="1"/>
  <c r="J20" i="31"/>
  <c r="J23" i="31" s="1"/>
  <c r="J27" i="31" s="1"/>
  <c r="J15" i="30"/>
  <c r="J18" i="30" s="1"/>
  <c r="J22" i="30" s="1"/>
  <c r="J16" i="29"/>
  <c r="J19" i="29" s="1"/>
  <c r="J23" i="29" s="1"/>
  <c r="J15" i="28"/>
  <c r="J13" i="28"/>
  <c r="J12" i="28"/>
  <c r="J13" i="27"/>
  <c r="J14" i="27"/>
  <c r="J12" i="27"/>
  <c r="J13" i="26"/>
  <c r="J16" i="28" l="1"/>
  <c r="J19" i="28" s="1"/>
  <c r="J23" i="28" s="1"/>
  <c r="J15" i="27"/>
  <c r="J18" i="27" s="1"/>
  <c r="J22" i="27" s="1"/>
  <c r="J11" i="26"/>
  <c r="J12" i="26"/>
  <c r="J16" i="26" s="1"/>
  <c r="J20" i="26" s="1"/>
  <c r="I11" i="25"/>
  <c r="J11" i="25" l="1"/>
  <c r="J13" i="23"/>
  <c r="J12" i="23"/>
  <c r="J11" i="23"/>
  <c r="I11" i="22"/>
  <c r="I13" i="22"/>
  <c r="I12" i="22"/>
  <c r="J12" i="25" l="1"/>
  <c r="J15" i="25" s="1"/>
  <c r="J19" i="25" s="1"/>
  <c r="J14" i="23"/>
  <c r="J17" i="23" s="1"/>
  <c r="J21" i="23" s="1"/>
  <c r="J13" i="22"/>
  <c r="J12" i="22"/>
  <c r="J11" i="22"/>
  <c r="J14" i="22" l="1"/>
  <c r="J17" i="22" s="1"/>
  <c r="J21" i="22" s="1"/>
</calcChain>
</file>

<file path=xl/sharedStrings.xml><?xml version="1.0" encoding="utf-8"?>
<sst xmlns="http://schemas.openxmlformats.org/spreadsheetml/2006/main" count="561" uniqueCount="132">
  <si>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</si>
  <si>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</si>
  <si>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</si>
  <si>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</si>
  <si>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</si>
  <si>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</si>
  <si>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</si>
  <si>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</si>
  <si>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</si>
  <si>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</si>
  <si>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</si>
  <si>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</si>
  <si>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</si>
  <si>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</si>
  <si>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</si>
  <si>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</si>
  <si>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</si>
  <si>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</si>
  <si>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</si>
  <si>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</si>
  <si>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</si>
  <si>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</si>
  <si>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</si>
  <si>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Plumbing Work</t>
  </si>
  <si>
    <t>GST @ 18%</t>
  </si>
  <si>
    <t>Jaber</t>
  </si>
  <si>
    <t>Flat</t>
  </si>
  <si>
    <t>SK. Salauddin</t>
  </si>
  <si>
    <t>To, 
Tanvi Infracon - Revanta Project</t>
  </si>
  <si>
    <t>Inlet Plumbing work, Waterproofing Work &amp; Drainage work (E- Building)</t>
  </si>
  <si>
    <t>Toilet, Kitchen, Wash area Inlet Fitting (20%) (1st Floor)</t>
  </si>
  <si>
    <t>Toilet, Kitchen, Wash area Internal Drainage Work (10%) (1st Floor)</t>
  </si>
  <si>
    <t>Toilet, wash area Waterproofing and PCC work (25%) (1st Floor)</t>
  </si>
  <si>
    <t>Thirty Five Thousand Ninty Only</t>
  </si>
  <si>
    <t>Plant water supply line work</t>
  </si>
  <si>
    <t>R.ft.</t>
  </si>
  <si>
    <t>1" UPVC Line fitting work (For D- Building)</t>
  </si>
  <si>
    <t>1" UPVC Line fitting work (For Plant)</t>
  </si>
  <si>
    <t>Water tank fitting work</t>
  </si>
  <si>
    <t>Nos.</t>
  </si>
  <si>
    <t>Fourty Two Thousand Nine Hundred Only</t>
  </si>
  <si>
    <t>Inlet Plumbing work, Waterproofing Work &amp; Drainage work (D &amp; E- Building)</t>
  </si>
  <si>
    <t>D and E Building Terrace looping work</t>
  </si>
  <si>
    <t>One Lakh Sixty Six Thousand Four Hundred Only</t>
  </si>
  <si>
    <t>Lumsum</t>
  </si>
  <si>
    <t>D- Building ARV and PRV Fitting work (84 Valve)</t>
  </si>
  <si>
    <t>2nd Basement Storm water Line repairing work</t>
  </si>
  <si>
    <t>Thirty Two Thousand Only</t>
  </si>
  <si>
    <t>Basement Drainage and Water supply line work</t>
  </si>
  <si>
    <t>Basement</t>
  </si>
  <si>
    <t>6" Strom Water Line (Grey PVC - A, C, D, E Building Only)</t>
  </si>
  <si>
    <t>4" UPVC Water Supply Main Line Fitting</t>
  </si>
  <si>
    <t>3" UPVC Water Supply Building Ring Line Fitting</t>
  </si>
  <si>
    <t>Three Lakh Twenty Five Thousand Two Hundred Eighty Only</t>
  </si>
  <si>
    <t>B- Building Plumbing Work</t>
  </si>
  <si>
    <t>B-Building</t>
  </si>
  <si>
    <t>Outer Line Fitting work (20%) (26- Flats)</t>
  </si>
  <si>
    <t>Inlet Fitting work (20%) (20 -Flats)</t>
  </si>
  <si>
    <t>Waterproofing work (25%) (13 - Flats)</t>
  </si>
  <si>
    <t>Internal Drainage work (10%) (13- Flats)</t>
  </si>
  <si>
    <t>Four Lakh Sixty Seven Thousand Five Hundred only</t>
  </si>
  <si>
    <t>Inlet Fitting work (20%) (4 -Flats)</t>
  </si>
  <si>
    <t>Waterproofing work (25%) (11 - Flats)</t>
  </si>
  <si>
    <t>Internal Drainage work (10%) (11- Flats)</t>
  </si>
  <si>
    <t>Terrace Looping Line Work (10%) (26- Flats)</t>
  </si>
  <si>
    <t>Two lakh Fourty Six Thousand Five Hundred Only</t>
  </si>
  <si>
    <t>Salauddin</t>
  </si>
  <si>
    <t>Inlet Fitting work (20%) (1 -Flats) (203)</t>
  </si>
  <si>
    <t>Waterproofing work (25%) (1 - Flats) (203)</t>
  </si>
  <si>
    <t>Internal Drainage work (10%) (1- Flats) (203)</t>
  </si>
  <si>
    <t>Eighteen Thousand Seven Hundred Only</t>
  </si>
  <si>
    <t>Ground Floor Drainage system</t>
  </si>
  <si>
    <t>300 mm Dia. Pipe fitting work and P.C.C.</t>
  </si>
  <si>
    <t>200 mm Dia. Pipe fitting work and P.C.C.</t>
  </si>
  <si>
    <t>160 mm Dia. Pipe fitting work and P.C.C.</t>
  </si>
  <si>
    <t>600 X 600 X 900 Chamber</t>
  </si>
  <si>
    <t>300 X 300 X 900 Chamber</t>
  </si>
  <si>
    <t>300 X 300 X 1200 Chamber</t>
  </si>
  <si>
    <t>600 X 600 X 1200 Chamber</t>
  </si>
  <si>
    <t>Recharge Pit Chamber</t>
  </si>
  <si>
    <t>Three Lakah Thirty Nine Thousand Eight Hundred Only</t>
  </si>
  <si>
    <t>Ground Floor Drainage work</t>
  </si>
  <si>
    <t>D- Building Plumbing Work</t>
  </si>
  <si>
    <t>C.P. Fitting work</t>
  </si>
  <si>
    <t>C.P. fitting 7.5%</t>
  </si>
  <si>
    <t>Sanitary fitting 7.5%</t>
  </si>
  <si>
    <t>One Lakh Seven Thousand One Hundred Only</t>
  </si>
  <si>
    <t>Basement and COP area line fitting C, D, E fitting</t>
  </si>
  <si>
    <t xml:space="preserve">Basement and COP area Line </t>
  </si>
  <si>
    <t>110 mm Pipe fitting work</t>
  </si>
  <si>
    <t>Rate</t>
  </si>
  <si>
    <t>160 mm Pipe fitting work</t>
  </si>
  <si>
    <t>50 mm Pipe fitting work</t>
  </si>
  <si>
    <t>1 1/2" Pipe fitting work</t>
  </si>
  <si>
    <t>160 mm X 110 mm Connection fitting work</t>
  </si>
  <si>
    <t>1 1/4" X 1 1/2" Line connection work</t>
  </si>
  <si>
    <t>1 1/2" Ball Valve fitting work</t>
  </si>
  <si>
    <t>Two Lakh Fifty Eight Thousand Seven Hundred Thirty Only</t>
  </si>
  <si>
    <t>Flats</t>
  </si>
  <si>
    <t>Ground Floor</t>
  </si>
  <si>
    <t>Ground Floor Strom Water Line 12"</t>
  </si>
  <si>
    <t>Ground Floor Drainage Line Fitting 8"</t>
  </si>
  <si>
    <t>Ground Floor 600 X 600 Chamber</t>
  </si>
  <si>
    <t>Ground Floor 450 X 900 Chamber</t>
  </si>
  <si>
    <t>Ground Floor 300 X 300 Chamber</t>
  </si>
  <si>
    <t>Ground Floor Transformer to basement 6" Line fitting</t>
  </si>
  <si>
    <t>Boring to UGWT 2" Line fitting work</t>
  </si>
  <si>
    <t>ABC Building Basement</t>
  </si>
  <si>
    <t>6" Pipe fitting</t>
  </si>
  <si>
    <t>1 1/4" Pipe fitting</t>
  </si>
  <si>
    <t>4" Pipe fitting</t>
  </si>
  <si>
    <t>2" Pipe fitting</t>
  </si>
  <si>
    <t>3" Pipe fitting</t>
  </si>
  <si>
    <t>1 1/2" Pipe fitting</t>
  </si>
  <si>
    <t>80 mm Ring line fitting</t>
  </si>
  <si>
    <t>1 1/2" Ball Valva fitting work</t>
  </si>
  <si>
    <t>Ground floor Chamber cover fitting work (600 x 600 and 450 x 900)</t>
  </si>
  <si>
    <t>Ground floor chamber cover fitting work (300 X 300)</t>
  </si>
  <si>
    <t>Basement 600 X 600 Chamber cover fitting work</t>
  </si>
  <si>
    <t>Three Lakh Sixty Nine Thousand Six Hundred Thirty Only</t>
  </si>
  <si>
    <t>Flat Plumbing work</t>
  </si>
  <si>
    <t>E- Building 1011, 1211 Conceal part fitting, Water proofing and Drainage line fitting work</t>
  </si>
  <si>
    <t>Sixty Thousand Only</t>
  </si>
  <si>
    <t>B- Building</t>
  </si>
  <si>
    <t>C.P. Fitting work 7.5% (24 Flat X 2550)</t>
  </si>
  <si>
    <t>Sanitary Fitting work 7.5% (24 Flat X 2550)</t>
  </si>
  <si>
    <t>200 mm Outer Road Rain water Line fitting work</t>
  </si>
  <si>
    <t>300 X 300 Chamber for DG</t>
  </si>
  <si>
    <t>600 X 2400 Chamber for SMC Water Line</t>
  </si>
  <si>
    <t>900 X 1200 Chamber for Transformer Area</t>
  </si>
  <si>
    <t>B- Building 203 Flat Inlet Fitting, Internal Drainage and Water proofing work</t>
  </si>
  <si>
    <t>Two Lakh Seven Thousand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</si>
</sst>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3"/>
  <sheetViews>
    <sheetView topLeftCell="A4" zoomScaleNormal="100" workbookViewId="0">
      <selection activeCell="I13" sqref="I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204</v>
      </c>
    </row>
    <row r="5" spans="2:10" ht="18.899999999999999" customHeight="1" x14ac:dyDescent="0.3">
      <c r="B5" s="24" t="s">
        <v>1</v>
      </c>
      <c r="C5" s="24"/>
      <c r="D5" s="23" t="s">
        <v>25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45055</v>
      </c>
      <c r="J6" s="30"/>
    </row>
    <row r="7" spans="2:10" ht="20.149999999999999" customHeight="1" x14ac:dyDescent="0.3">
      <c r="B7" s="31" t="s">
        <v>3</v>
      </c>
      <c r="C7" s="31"/>
      <c r="D7" s="32" t="s">
        <v>23</v>
      </c>
      <c r="E7" s="32"/>
      <c r="F7" s="32"/>
      <c r="G7" s="32"/>
      <c r="H7" s="3" t="s">
        <v>17</v>
      </c>
      <c r="I7" s="29">
        <v>45051</v>
      </c>
      <c r="J7" s="30"/>
    </row>
    <row r="8" spans="2:10" ht="18.899999999999999" customHeight="1" x14ac:dyDescent="0.3">
      <c r="B8" s="24" t="s">
        <v>5</v>
      </c>
      <c r="C8" s="24"/>
      <c r="D8" s="23" t="s">
        <v>29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33.9" customHeight="1" x14ac:dyDescent="0.3">
      <c r="B11" s="4">
        <v>1</v>
      </c>
      <c r="C11" s="32" t="s">
        <v>30</v>
      </c>
      <c r="D11" s="32"/>
      <c r="E11" s="32"/>
      <c r="F11" s="5">
        <v>1</v>
      </c>
      <c r="G11" s="13">
        <v>2</v>
      </c>
      <c r="H11" s="4" t="s">
        <v>26</v>
      </c>
      <c r="I11" s="14">
        <f>31900*20%</f>
        <v>6380</v>
      </c>
      <c r="J11" s="6">
        <f>F11*I11*G11</f>
        <v>12760</v>
      </c>
    </row>
    <row r="12" spans="2:10" ht="33.9" customHeight="1" x14ac:dyDescent="0.3">
      <c r="B12" s="4">
        <v>2</v>
      </c>
      <c r="C12" s="32" t="s">
        <v>31</v>
      </c>
      <c r="D12" s="32"/>
      <c r="E12" s="32"/>
      <c r="F12" s="5">
        <v>1</v>
      </c>
      <c r="G12" s="13">
        <v>2</v>
      </c>
      <c r="H12" s="4" t="s">
        <v>26</v>
      </c>
      <c r="I12" s="14">
        <f>31900*10%</f>
        <v>3190</v>
      </c>
      <c r="J12" s="6">
        <f>G12*I12</f>
        <v>6380</v>
      </c>
    </row>
    <row r="13" spans="2:10" ht="33.9" customHeight="1" x14ac:dyDescent="0.3">
      <c r="B13" s="4">
        <v>3</v>
      </c>
      <c r="C13" s="32" t="s">
        <v>32</v>
      </c>
      <c r="D13" s="32"/>
      <c r="E13" s="32"/>
      <c r="F13" s="5">
        <v>1</v>
      </c>
      <c r="G13" s="13">
        <v>2</v>
      </c>
      <c r="H13" s="4" t="s">
        <v>26</v>
      </c>
      <c r="I13" s="14">
        <f>31900*25%</f>
        <v>7975</v>
      </c>
      <c r="J13" s="6">
        <f>G13*I13</f>
        <v>15950</v>
      </c>
    </row>
    <row r="14" spans="2:10" ht="17.399999999999999" customHeight="1" x14ac:dyDescent="0.35">
      <c r="B14" s="18"/>
      <c r="C14" s="27" t="s">
        <v>18</v>
      </c>
      <c r="D14" s="27"/>
      <c r="E14" s="27"/>
      <c r="F14" s="27"/>
      <c r="G14" s="27"/>
      <c r="H14" s="27"/>
      <c r="I14" s="27"/>
      <c r="J14" s="7">
        <f>SUM(J11:J13)</f>
        <v>35090</v>
      </c>
    </row>
    <row r="15" spans="2:10" ht="17.399999999999999" customHeight="1" x14ac:dyDescent="0.35">
      <c r="B15" s="18"/>
      <c r="C15" s="25" t="s">
        <v>24</v>
      </c>
      <c r="D15" s="25"/>
      <c r="E15" s="25"/>
      <c r="F15" s="25"/>
      <c r="G15" s="25"/>
      <c r="H15" s="25"/>
      <c r="I15" s="25"/>
      <c r="J15" s="7">
        <v>0</v>
      </c>
    </row>
    <row r="16" spans="2:10" ht="17.399999999999999" customHeight="1" x14ac:dyDescent="0.35">
      <c r="B16" s="18"/>
      <c r="C16" s="25"/>
      <c r="D16" s="25"/>
      <c r="E16" s="25"/>
      <c r="F16" s="25"/>
      <c r="G16" s="25"/>
      <c r="H16" s="25"/>
      <c r="I16" s="25"/>
      <c r="J16" s="7"/>
    </row>
    <row r="17" spans="2:12" ht="17.399999999999999" customHeight="1" x14ac:dyDescent="0.35">
      <c r="B17" s="18"/>
      <c r="C17" s="16"/>
      <c r="D17" s="16"/>
      <c r="E17" s="16"/>
      <c r="F17" s="16"/>
      <c r="G17" s="16"/>
      <c r="H17" s="16"/>
      <c r="I17" s="16"/>
      <c r="J17" s="7">
        <f>J14+J15+J16</f>
        <v>35090</v>
      </c>
    </row>
    <row r="18" spans="2:12" ht="15.5" x14ac:dyDescent="0.35">
      <c r="B18" s="8"/>
      <c r="C18" s="26" t="s">
        <v>33</v>
      </c>
      <c r="D18" s="26"/>
      <c r="E18" s="26"/>
      <c r="F18" s="26"/>
      <c r="G18" s="26"/>
      <c r="H18" s="26"/>
      <c r="I18" s="26"/>
      <c r="J18" s="26"/>
    </row>
    <row r="19" spans="2:12" ht="15.5" x14ac:dyDescent="0.35">
      <c r="B19" s="18"/>
      <c r="C19" s="22" t="s">
        <v>12</v>
      </c>
      <c r="D19" s="22"/>
      <c r="E19" s="22"/>
      <c r="F19" s="8"/>
      <c r="G19" s="8"/>
      <c r="H19" s="8"/>
      <c r="I19" s="8"/>
      <c r="J19" s="9">
        <v>0</v>
      </c>
    </row>
    <row r="20" spans="2:12" ht="15.5" x14ac:dyDescent="0.35">
      <c r="B20" s="18"/>
      <c r="C20" s="22" t="s">
        <v>20</v>
      </c>
      <c r="D20" s="22"/>
      <c r="E20" s="22"/>
      <c r="F20" s="8"/>
      <c r="G20" s="8"/>
      <c r="H20" s="8"/>
      <c r="I20" s="8"/>
      <c r="J20" s="9">
        <v>0</v>
      </c>
    </row>
    <row r="21" spans="2:12" ht="15.5" x14ac:dyDescent="0.35">
      <c r="B21" s="18"/>
      <c r="C21" s="22" t="s">
        <v>13</v>
      </c>
      <c r="D21" s="22"/>
      <c r="E21" s="22"/>
      <c r="F21" s="8"/>
      <c r="G21" s="8" t="s">
        <v>19</v>
      </c>
      <c r="H21" s="8"/>
      <c r="I21" s="8"/>
      <c r="J21" s="12">
        <f>J17</f>
        <v>35090</v>
      </c>
    </row>
    <row r="22" spans="2:12" ht="15.5" x14ac:dyDescent="0.35">
      <c r="B22" s="8"/>
      <c r="C22" s="22"/>
      <c r="D22" s="22"/>
      <c r="E22" s="22"/>
      <c r="F22" s="8"/>
      <c r="G22" s="8"/>
      <c r="H22" s="8"/>
      <c r="I22" s="8"/>
      <c r="J22" s="8"/>
      <c r="L22" s="11"/>
    </row>
    <row r="23" spans="2:12" x14ac:dyDescent="0.3">
      <c r="B23" s="23" t="s">
        <v>14</v>
      </c>
      <c r="C23" s="23"/>
      <c r="D23" s="23"/>
      <c r="E23" s="23"/>
      <c r="F23" s="23"/>
      <c r="G23" s="23"/>
      <c r="H23" s="23"/>
      <c r="I23" s="23"/>
      <c r="J23" s="23"/>
    </row>
    <row r="24" spans="2:12" x14ac:dyDescent="0.3">
      <c r="B24" s="23"/>
      <c r="C24" s="23"/>
      <c r="D24" s="23"/>
      <c r="E24" s="23"/>
      <c r="F24" s="23"/>
      <c r="G24" s="23"/>
      <c r="H24" s="23"/>
      <c r="I24" s="23"/>
      <c r="J24" s="23"/>
    </row>
    <row r="25" spans="2:12" x14ac:dyDescent="0.3">
      <c r="B25" s="23"/>
      <c r="C25" s="23"/>
      <c r="D25" s="23"/>
      <c r="E25" s="23"/>
      <c r="F25" s="23"/>
      <c r="G25" s="23"/>
      <c r="H25" s="23"/>
      <c r="I25" s="23"/>
      <c r="J25" s="23"/>
    </row>
    <row r="28" spans="2:12" ht="14.15" customHeight="1" x14ac:dyDescent="0.3">
      <c r="B28" s="24" t="s">
        <v>15</v>
      </c>
      <c r="C28" s="24"/>
      <c r="D28" s="24"/>
      <c r="E28" s="24"/>
      <c r="F28" s="24"/>
      <c r="G28" s="24"/>
      <c r="H28" s="24"/>
      <c r="I28" s="24"/>
      <c r="J28" s="24"/>
    </row>
    <row r="29" spans="2:12" ht="14.15" customHeight="1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2" x14ac:dyDescent="0.3">
      <c r="B30" s="24"/>
      <c r="C30" s="24"/>
      <c r="D30" s="24"/>
      <c r="E30" s="24"/>
      <c r="F30" s="24"/>
      <c r="G30" s="24"/>
      <c r="H30" s="24"/>
      <c r="I30" s="24"/>
      <c r="J30" s="24"/>
    </row>
    <row r="31" spans="2:12" x14ac:dyDescent="0.3">
      <c r="B31" s="24"/>
      <c r="C31" s="24"/>
      <c r="D31" s="24"/>
      <c r="E31" s="24"/>
      <c r="F31" s="24"/>
      <c r="G31" s="24"/>
      <c r="H31" s="24"/>
      <c r="I31" s="24"/>
      <c r="J31" s="24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C22:E22"/>
    <mergeCell ref="B23:J25"/>
    <mergeCell ref="B28:J29"/>
    <mergeCell ref="B30:J31"/>
    <mergeCell ref="C15:I15"/>
    <mergeCell ref="C16:I16"/>
    <mergeCell ref="C18:J18"/>
    <mergeCell ref="C19:E19"/>
    <mergeCell ref="C20:E20"/>
    <mergeCell ref="C21:E21"/>
  </mergeCells>
  <pageMargins left="0.7" right="0.7" top="0.75" bottom="0.75" header="0.3" footer="0.3"/>
  <pageSetup paperSize="9" scale="6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A150-CFEB-4415-9E97-7927E282F357}">
  <sheetPr>
    <pageSetUpPr fitToPage="1"/>
  </sheetPr>
  <dimension ref="B2:L33"/>
  <sheetViews>
    <sheetView topLeftCell="A4" zoomScaleNormal="100" workbookViewId="0">
      <selection activeCell="I11" sqref="I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185</v>
      </c>
    </row>
    <row r="5" spans="2:10" ht="18.899999999999999" customHeight="1" x14ac:dyDescent="0.3">
      <c r="B5" s="24" t="s">
        <v>1</v>
      </c>
      <c r="C5" s="24"/>
      <c r="D5" s="23" t="s">
        <v>25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45362</v>
      </c>
      <c r="J6" s="30"/>
    </row>
    <row r="7" spans="2:10" ht="20.149999999999999" customHeight="1" x14ac:dyDescent="0.3">
      <c r="B7" s="31" t="s">
        <v>3</v>
      </c>
      <c r="C7" s="31"/>
      <c r="D7" s="32" t="s">
        <v>23</v>
      </c>
      <c r="E7" s="32"/>
      <c r="F7" s="32"/>
      <c r="G7" s="32"/>
      <c r="H7" s="3" t="s">
        <v>17</v>
      </c>
      <c r="I7" s="29">
        <v>45361</v>
      </c>
      <c r="J7" s="30"/>
    </row>
    <row r="8" spans="2:10" ht="18.899999999999999" customHeight="1" x14ac:dyDescent="0.3">
      <c r="B8" s="24" t="s">
        <v>5</v>
      </c>
      <c r="C8" s="24"/>
      <c r="D8" s="23" t="s">
        <v>34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33.9" customHeight="1" x14ac:dyDescent="0.3">
      <c r="B11" s="4">
        <v>1</v>
      </c>
      <c r="C11" s="32" t="s">
        <v>36</v>
      </c>
      <c r="D11" s="32"/>
      <c r="E11" s="32"/>
      <c r="F11" s="5">
        <v>1</v>
      </c>
      <c r="G11" s="13">
        <v>380</v>
      </c>
      <c r="H11" s="4" t="s">
        <v>35</v>
      </c>
      <c r="I11" s="14">
        <v>30</v>
      </c>
      <c r="J11" s="6">
        <f>F11*I11*G11</f>
        <v>11400</v>
      </c>
    </row>
    <row r="12" spans="2:10" ht="33.9" customHeight="1" x14ac:dyDescent="0.3">
      <c r="B12" s="4">
        <v>2</v>
      </c>
      <c r="C12" s="32" t="s">
        <v>37</v>
      </c>
      <c r="D12" s="32"/>
      <c r="E12" s="32"/>
      <c r="F12" s="5">
        <v>1</v>
      </c>
      <c r="G12" s="13">
        <v>700</v>
      </c>
      <c r="H12" s="4" t="s">
        <v>35</v>
      </c>
      <c r="I12" s="14">
        <v>30</v>
      </c>
      <c r="J12" s="6">
        <f>G12*I12</f>
        <v>21000</v>
      </c>
    </row>
    <row r="13" spans="2:10" ht="33.9" customHeight="1" x14ac:dyDescent="0.3">
      <c r="B13" s="4">
        <v>3</v>
      </c>
      <c r="C13" s="32" t="s">
        <v>38</v>
      </c>
      <c r="D13" s="32"/>
      <c r="E13" s="32"/>
      <c r="F13" s="5">
        <v>1</v>
      </c>
      <c r="G13" s="13">
        <v>3</v>
      </c>
      <c r="H13" s="4" t="s">
        <v>39</v>
      </c>
      <c r="I13" s="14">
        <v>3500</v>
      </c>
      <c r="J13" s="6">
        <f>G13*I13</f>
        <v>10500</v>
      </c>
    </row>
    <row r="14" spans="2:10" ht="17.399999999999999" customHeight="1" x14ac:dyDescent="0.35">
      <c r="B14" s="18"/>
      <c r="C14" s="27" t="s">
        <v>18</v>
      </c>
      <c r="D14" s="27"/>
      <c r="E14" s="27"/>
      <c r="F14" s="27"/>
      <c r="G14" s="27"/>
      <c r="H14" s="27"/>
      <c r="I14" s="27"/>
      <c r="J14" s="7">
        <f>SUM(J11:J13)</f>
        <v>42900</v>
      </c>
    </row>
    <row r="15" spans="2:10" ht="17.399999999999999" customHeight="1" x14ac:dyDescent="0.35">
      <c r="B15" s="18"/>
      <c r="C15" s="25" t="s">
        <v>24</v>
      </c>
      <c r="D15" s="25"/>
      <c r="E15" s="25"/>
      <c r="F15" s="25"/>
      <c r="G15" s="25"/>
      <c r="H15" s="25"/>
      <c r="I15" s="25"/>
      <c r="J15" s="7">
        <v>0</v>
      </c>
    </row>
    <row r="16" spans="2:10" ht="17.399999999999999" customHeight="1" x14ac:dyDescent="0.35">
      <c r="B16" s="18"/>
      <c r="C16" s="25"/>
      <c r="D16" s="25"/>
      <c r="E16" s="25"/>
      <c r="F16" s="25"/>
      <c r="G16" s="25"/>
      <c r="H16" s="25"/>
      <c r="I16" s="25"/>
      <c r="J16" s="7"/>
    </row>
    <row r="17" spans="2:12" ht="17.399999999999999" customHeight="1" x14ac:dyDescent="0.35">
      <c r="B17" s="18"/>
      <c r="C17" s="16"/>
      <c r="D17" s="16"/>
      <c r="E17" s="16"/>
      <c r="F17" s="16"/>
      <c r="G17" s="16"/>
      <c r="H17" s="16"/>
      <c r="I17" s="16"/>
      <c r="J17" s="7">
        <f>J14+J15+J16</f>
        <v>42900</v>
      </c>
    </row>
    <row r="18" spans="2:12" ht="15.5" x14ac:dyDescent="0.35">
      <c r="B18" s="8"/>
      <c r="C18" s="26" t="s">
        <v>40</v>
      </c>
      <c r="D18" s="26"/>
      <c r="E18" s="26"/>
      <c r="F18" s="26"/>
      <c r="G18" s="26"/>
      <c r="H18" s="26"/>
      <c r="I18" s="26"/>
      <c r="J18" s="26"/>
    </row>
    <row r="19" spans="2:12" ht="15.5" x14ac:dyDescent="0.35">
      <c r="B19" s="18"/>
      <c r="C19" s="22" t="s">
        <v>12</v>
      </c>
      <c r="D19" s="22"/>
      <c r="E19" s="22"/>
      <c r="F19" s="8"/>
      <c r="G19" s="8"/>
      <c r="H19" s="8"/>
      <c r="I19" s="8"/>
      <c r="J19" s="9">
        <v>0</v>
      </c>
    </row>
    <row r="20" spans="2:12" ht="15.5" x14ac:dyDescent="0.35">
      <c r="B20" s="18"/>
      <c r="C20" s="22" t="s">
        <v>20</v>
      </c>
      <c r="D20" s="22"/>
      <c r="E20" s="22"/>
      <c r="F20" s="8"/>
      <c r="G20" s="8"/>
      <c r="H20" s="8"/>
      <c r="I20" s="8"/>
      <c r="J20" s="9">
        <v>0</v>
      </c>
    </row>
    <row r="21" spans="2:12" ht="15.5" x14ac:dyDescent="0.35">
      <c r="B21" s="18"/>
      <c r="C21" s="22" t="s">
        <v>13</v>
      </c>
      <c r="D21" s="22"/>
      <c r="E21" s="22"/>
      <c r="F21" s="8"/>
      <c r="G21" s="8" t="s">
        <v>19</v>
      </c>
      <c r="H21" s="8"/>
      <c r="I21" s="8"/>
      <c r="J21" s="12">
        <f>J17</f>
        <v>42900</v>
      </c>
    </row>
    <row r="22" spans="2:12" ht="15.5" x14ac:dyDescent="0.35">
      <c r="B22" s="8"/>
      <c r="C22" s="22"/>
      <c r="D22" s="22"/>
      <c r="E22" s="22"/>
      <c r="F22" s="8"/>
      <c r="G22" s="8"/>
      <c r="H22" s="8"/>
      <c r="I22" s="8"/>
      <c r="J22" s="8"/>
      <c r="L22" s="11"/>
    </row>
    <row r="23" spans="2:12" x14ac:dyDescent="0.3">
      <c r="B23" s="23" t="s">
        <v>14</v>
      </c>
      <c r="C23" s="23"/>
      <c r="D23" s="23"/>
      <c r="E23" s="23"/>
      <c r="F23" s="23"/>
      <c r="G23" s="23"/>
      <c r="H23" s="23"/>
      <c r="I23" s="23"/>
      <c r="J23" s="23"/>
    </row>
    <row r="24" spans="2:12" x14ac:dyDescent="0.3">
      <c r="B24" s="23"/>
      <c r="C24" s="23"/>
      <c r="D24" s="23"/>
      <c r="E24" s="23"/>
      <c r="F24" s="23"/>
      <c r="G24" s="23"/>
      <c r="H24" s="23"/>
      <c r="I24" s="23"/>
      <c r="J24" s="23"/>
    </row>
    <row r="25" spans="2:12" x14ac:dyDescent="0.3">
      <c r="B25" s="23"/>
      <c r="C25" s="23"/>
      <c r="D25" s="23"/>
      <c r="E25" s="23"/>
      <c r="F25" s="23"/>
      <c r="G25" s="23"/>
      <c r="H25" s="23"/>
      <c r="I25" s="23"/>
      <c r="J25" s="23"/>
    </row>
    <row r="28" spans="2:12" ht="14.15" customHeight="1" x14ac:dyDescent="0.3">
      <c r="B28" s="24" t="s">
        <v>15</v>
      </c>
      <c r="C28" s="24"/>
      <c r="D28" s="24"/>
      <c r="E28" s="24"/>
      <c r="F28" s="24"/>
      <c r="G28" s="24"/>
      <c r="H28" s="24"/>
      <c r="I28" s="24"/>
      <c r="J28" s="24"/>
    </row>
    <row r="29" spans="2:12" ht="14.15" customHeight="1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2" x14ac:dyDescent="0.3">
      <c r="B30" s="24"/>
      <c r="C30" s="24"/>
      <c r="D30" s="24"/>
      <c r="E30" s="24"/>
      <c r="F30" s="24"/>
      <c r="G30" s="24"/>
      <c r="H30" s="24"/>
      <c r="I30" s="24"/>
      <c r="J30" s="24"/>
    </row>
    <row r="31" spans="2:12" x14ac:dyDescent="0.3">
      <c r="B31" s="24"/>
      <c r="C31" s="24"/>
      <c r="D31" s="24"/>
      <c r="E31" s="24"/>
      <c r="F31" s="24"/>
      <c r="G31" s="24"/>
      <c r="H31" s="24"/>
      <c r="I31" s="24"/>
      <c r="J31" s="24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C22:E22"/>
    <mergeCell ref="B23:J25"/>
    <mergeCell ref="B28:J29"/>
    <mergeCell ref="B30:J31"/>
    <mergeCell ref="C15:I15"/>
    <mergeCell ref="C16:I16"/>
    <mergeCell ref="C18:J18"/>
    <mergeCell ref="C19:E19"/>
    <mergeCell ref="C20:E20"/>
    <mergeCell ref="C21:E21"/>
  </mergeCells>
  <pageMargins left="0.7" right="0.7" top="0.75" bottom="0.75" header="0.3" footer="0.3"/>
  <pageSetup paperSize="9" scale="6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AF40-D294-4D2F-B302-E7F97515C3A9}">
  <sheetPr>
    <pageSetUpPr fitToPage="1"/>
  </sheetPr>
  <dimension ref="B2:L31"/>
  <sheetViews>
    <sheetView topLeftCell="A6" zoomScaleNormal="100" workbookViewId="0">
      <selection activeCell="I11" sqref="I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208</v>
      </c>
    </row>
    <row r="5" spans="2:10" ht="18.899999999999999" customHeight="1" x14ac:dyDescent="0.3">
      <c r="B5" s="24" t="s">
        <v>1</v>
      </c>
      <c r="C5" s="24"/>
      <c r="D5" s="23" t="s">
        <v>25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45451</v>
      </c>
      <c r="J6" s="30"/>
    </row>
    <row r="7" spans="2:10" ht="20.149999999999999" customHeight="1" x14ac:dyDescent="0.3">
      <c r="B7" s="31" t="s">
        <v>3</v>
      </c>
      <c r="C7" s="31"/>
      <c r="D7" s="32" t="s">
        <v>23</v>
      </c>
      <c r="E7" s="32"/>
      <c r="F7" s="32"/>
      <c r="G7" s="32"/>
      <c r="H7" s="3" t="s">
        <v>17</v>
      </c>
      <c r="I7" s="29">
        <v>45450</v>
      </c>
      <c r="J7" s="30"/>
    </row>
    <row r="8" spans="2:10" ht="18.899999999999999" customHeight="1" x14ac:dyDescent="0.3">
      <c r="B8" s="24" t="s">
        <v>5</v>
      </c>
      <c r="C8" s="24"/>
      <c r="D8" s="23" t="s">
        <v>41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48.5" customHeight="1" x14ac:dyDescent="0.3">
      <c r="B11" s="4">
        <v>1</v>
      </c>
      <c r="C11" s="32" t="s">
        <v>42</v>
      </c>
      <c r="D11" s="32"/>
      <c r="E11" s="32"/>
      <c r="F11" s="5">
        <v>1</v>
      </c>
      <c r="G11" s="13">
        <v>52</v>
      </c>
      <c r="H11" s="4" t="s">
        <v>26</v>
      </c>
      <c r="I11" s="14">
        <f>32000*10%</f>
        <v>3200</v>
      </c>
      <c r="J11" s="6">
        <f>F11*I11*G11</f>
        <v>166400</v>
      </c>
    </row>
    <row r="12" spans="2:10" ht="17.399999999999999" customHeight="1" x14ac:dyDescent="0.35">
      <c r="B12" s="18"/>
      <c r="C12" s="27" t="s">
        <v>18</v>
      </c>
      <c r="D12" s="27"/>
      <c r="E12" s="27"/>
      <c r="F12" s="27"/>
      <c r="G12" s="27"/>
      <c r="H12" s="27"/>
      <c r="I12" s="27"/>
      <c r="J12" s="7">
        <f>SUM(J11:J11)</f>
        <v>166400</v>
      </c>
    </row>
    <row r="13" spans="2:10" ht="17.399999999999999" customHeight="1" x14ac:dyDescent="0.35">
      <c r="B13" s="18"/>
      <c r="C13" s="25" t="s">
        <v>24</v>
      </c>
      <c r="D13" s="25"/>
      <c r="E13" s="25"/>
      <c r="F13" s="25"/>
      <c r="G13" s="25"/>
      <c r="H13" s="25"/>
      <c r="I13" s="25"/>
      <c r="J13" s="7">
        <v>0</v>
      </c>
    </row>
    <row r="14" spans="2:10" ht="17.399999999999999" customHeight="1" x14ac:dyDescent="0.35">
      <c r="B14" s="18"/>
      <c r="C14" s="25"/>
      <c r="D14" s="25"/>
      <c r="E14" s="25"/>
      <c r="F14" s="25"/>
      <c r="G14" s="25"/>
      <c r="H14" s="25"/>
      <c r="I14" s="25"/>
      <c r="J14" s="7"/>
    </row>
    <row r="15" spans="2:10" ht="17.399999999999999" customHeight="1" x14ac:dyDescent="0.35">
      <c r="B15" s="18"/>
      <c r="C15" s="16"/>
      <c r="D15" s="16"/>
      <c r="E15" s="16"/>
      <c r="F15" s="16"/>
      <c r="G15" s="16"/>
      <c r="H15" s="16"/>
      <c r="I15" s="16"/>
      <c r="J15" s="7">
        <f>J12+J13+J14</f>
        <v>166400</v>
      </c>
    </row>
    <row r="16" spans="2:10" ht="15.5" x14ac:dyDescent="0.35">
      <c r="B16" s="8"/>
      <c r="C16" s="26" t="s">
        <v>43</v>
      </c>
      <c r="D16" s="26"/>
      <c r="E16" s="26"/>
      <c r="F16" s="26"/>
      <c r="G16" s="26"/>
      <c r="H16" s="26"/>
      <c r="I16" s="26"/>
      <c r="J16" s="26"/>
    </row>
    <row r="17" spans="2:12" ht="15.5" x14ac:dyDescent="0.35">
      <c r="B17" s="18"/>
      <c r="C17" s="22" t="s">
        <v>12</v>
      </c>
      <c r="D17" s="22"/>
      <c r="E17" s="22"/>
      <c r="F17" s="8"/>
      <c r="G17" s="8"/>
      <c r="H17" s="8"/>
      <c r="I17" s="8"/>
      <c r="J17" s="9">
        <v>0</v>
      </c>
    </row>
    <row r="18" spans="2:12" ht="15.5" x14ac:dyDescent="0.35">
      <c r="B18" s="18"/>
      <c r="C18" s="22" t="s">
        <v>20</v>
      </c>
      <c r="D18" s="22"/>
      <c r="E18" s="22"/>
      <c r="F18" s="8"/>
      <c r="G18" s="8"/>
      <c r="H18" s="8"/>
      <c r="I18" s="8"/>
      <c r="J18" s="9">
        <v>0</v>
      </c>
    </row>
    <row r="19" spans="2:12" ht="15.5" x14ac:dyDescent="0.35">
      <c r="B19" s="18"/>
      <c r="C19" s="22" t="s">
        <v>13</v>
      </c>
      <c r="D19" s="22"/>
      <c r="E19" s="22"/>
      <c r="F19" s="8"/>
      <c r="G19" s="8" t="s">
        <v>19</v>
      </c>
      <c r="H19" s="8"/>
      <c r="I19" s="8"/>
      <c r="J19" s="12">
        <f>J15</f>
        <v>166400</v>
      </c>
    </row>
    <row r="20" spans="2:12" ht="15.5" x14ac:dyDescent="0.35">
      <c r="B20" s="8"/>
      <c r="C20" s="22"/>
      <c r="D20" s="22"/>
      <c r="E20" s="22"/>
      <c r="F20" s="8"/>
      <c r="G20" s="8"/>
      <c r="H20" s="8"/>
      <c r="I20" s="8"/>
      <c r="J20" s="8"/>
      <c r="L20" s="11"/>
    </row>
    <row r="21" spans="2:12" x14ac:dyDescent="0.3">
      <c r="B21" s="23" t="s">
        <v>14</v>
      </c>
      <c r="C21" s="23"/>
      <c r="D21" s="23"/>
      <c r="E21" s="23"/>
      <c r="F21" s="23"/>
      <c r="G21" s="23"/>
      <c r="H21" s="23"/>
      <c r="I21" s="23"/>
      <c r="J21" s="23"/>
    </row>
    <row r="22" spans="2:12" x14ac:dyDescent="0.3">
      <c r="B22" s="23"/>
      <c r="C22" s="23"/>
      <c r="D22" s="23"/>
      <c r="E22" s="23"/>
      <c r="F22" s="23"/>
      <c r="G22" s="23"/>
      <c r="H22" s="23"/>
      <c r="I22" s="23"/>
      <c r="J22" s="23"/>
    </row>
    <row r="23" spans="2:12" x14ac:dyDescent="0.3">
      <c r="B23" s="23"/>
      <c r="C23" s="23"/>
      <c r="D23" s="23"/>
      <c r="E23" s="23"/>
      <c r="F23" s="23"/>
      <c r="G23" s="23"/>
      <c r="H23" s="23"/>
      <c r="I23" s="23"/>
      <c r="J23" s="23"/>
    </row>
    <row r="26" spans="2:12" ht="14.15" customHeight="1" x14ac:dyDescent="0.3">
      <c r="B26" s="24" t="s">
        <v>15</v>
      </c>
      <c r="C26" s="24"/>
      <c r="D26" s="24"/>
      <c r="E26" s="24"/>
      <c r="F26" s="24"/>
      <c r="G26" s="24"/>
      <c r="H26" s="24"/>
      <c r="I26" s="24"/>
      <c r="J26" s="24"/>
    </row>
    <row r="27" spans="2:12" ht="14.15" customHeight="1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28" spans="2:12" x14ac:dyDescent="0.3">
      <c r="B28" s="24"/>
      <c r="C28" s="24"/>
      <c r="D28" s="24"/>
      <c r="E28" s="24"/>
      <c r="F28" s="24"/>
      <c r="G28" s="24"/>
      <c r="H28" s="24"/>
      <c r="I28" s="24"/>
      <c r="J28" s="24"/>
    </row>
    <row r="29" spans="2:12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6:G6"/>
    <mergeCell ref="I6:J6"/>
    <mergeCell ref="B7:C7"/>
    <mergeCell ref="D7:G7"/>
    <mergeCell ref="I7:J7"/>
    <mergeCell ref="B2:J2"/>
    <mergeCell ref="B4:C4"/>
    <mergeCell ref="D4:G4"/>
    <mergeCell ref="H4:I4"/>
    <mergeCell ref="B5:C5"/>
    <mergeCell ref="D5:J5"/>
    <mergeCell ref="C12:I12"/>
    <mergeCell ref="B9:J9"/>
    <mergeCell ref="C10:E10"/>
    <mergeCell ref="C11:E11"/>
    <mergeCell ref="B8:C8"/>
    <mergeCell ref="D8:J8"/>
    <mergeCell ref="C20:E20"/>
    <mergeCell ref="B21:J23"/>
    <mergeCell ref="B26:J27"/>
    <mergeCell ref="B28:J29"/>
    <mergeCell ref="C13:I13"/>
    <mergeCell ref="C14:I14"/>
    <mergeCell ref="C16:J16"/>
    <mergeCell ref="C17:E17"/>
    <mergeCell ref="C18:E18"/>
    <mergeCell ref="C19:E19"/>
  </mergeCells>
  <pageMargins left="0.7" right="0.7" top="0.75" bottom="0.75" header="0.3" footer="0.3"/>
  <pageSetup paperSize="9" scale="6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C925-B1A1-4DB5-9637-4D4FC2A851C4}">
  <sheetPr>
    <pageSetUpPr fitToPage="1"/>
  </sheetPr>
  <dimension ref="B2:L32"/>
  <sheetViews>
    <sheetView topLeftCell="A7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214</v>
      </c>
    </row>
    <row r="5" spans="2:10" ht="18.899999999999999" customHeight="1" x14ac:dyDescent="0.3">
      <c r="B5" s="24" t="s">
        <v>1</v>
      </c>
      <c r="C5" s="24"/>
      <c r="D5" s="23" t="s">
        <v>25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45520</v>
      </c>
      <c r="J6" s="30"/>
    </row>
    <row r="7" spans="2:10" ht="20.149999999999999" customHeight="1" x14ac:dyDescent="0.3">
      <c r="B7" s="31" t="s">
        <v>3</v>
      </c>
      <c r="C7" s="31"/>
      <c r="D7" s="32" t="s">
        <v>23</v>
      </c>
      <c r="E7" s="32"/>
      <c r="F7" s="32"/>
      <c r="G7" s="32"/>
      <c r="H7" s="3" t="s">
        <v>17</v>
      </c>
      <c r="I7" s="29">
        <v>45514</v>
      </c>
      <c r="J7" s="30"/>
    </row>
    <row r="8" spans="2:10" ht="18.899999999999999" customHeight="1" x14ac:dyDescent="0.3">
      <c r="B8" s="24" t="s">
        <v>5</v>
      </c>
      <c r="C8" s="24"/>
      <c r="D8" s="23" t="s">
        <v>41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48.5" customHeight="1" x14ac:dyDescent="0.3">
      <c r="B11" s="4">
        <v>1</v>
      </c>
      <c r="C11" s="32" t="s">
        <v>45</v>
      </c>
      <c r="D11" s="32"/>
      <c r="E11" s="32"/>
      <c r="F11" s="5">
        <v>1</v>
      </c>
      <c r="G11" s="13">
        <v>1</v>
      </c>
      <c r="H11" s="4" t="s">
        <v>44</v>
      </c>
      <c r="I11" s="14">
        <v>12000</v>
      </c>
      <c r="J11" s="6">
        <f>F11*I11*G11</f>
        <v>12000</v>
      </c>
    </row>
    <row r="12" spans="2:10" ht="48.5" customHeight="1" x14ac:dyDescent="0.3">
      <c r="B12" s="4">
        <v>2</v>
      </c>
      <c r="C12" s="32" t="s">
        <v>46</v>
      </c>
      <c r="D12" s="32"/>
      <c r="E12" s="32"/>
      <c r="F12" s="5">
        <v>1</v>
      </c>
      <c r="G12" s="13">
        <v>1</v>
      </c>
      <c r="H12" s="4" t="s">
        <v>44</v>
      </c>
      <c r="I12" s="14">
        <v>20000</v>
      </c>
      <c r="J12" s="6">
        <f>F12*I12*G12</f>
        <v>20000</v>
      </c>
    </row>
    <row r="13" spans="2:10" ht="17.399999999999999" customHeight="1" x14ac:dyDescent="0.35">
      <c r="B13" s="18"/>
      <c r="C13" s="27" t="s">
        <v>18</v>
      </c>
      <c r="D13" s="27"/>
      <c r="E13" s="27"/>
      <c r="F13" s="27"/>
      <c r="G13" s="27"/>
      <c r="H13" s="27"/>
      <c r="I13" s="27"/>
      <c r="J13" s="7">
        <f>SUM(J11:J12)</f>
        <v>32000</v>
      </c>
    </row>
    <row r="14" spans="2:10" ht="17.399999999999999" customHeight="1" x14ac:dyDescent="0.35">
      <c r="B14" s="18"/>
      <c r="C14" s="25" t="s">
        <v>24</v>
      </c>
      <c r="D14" s="25"/>
      <c r="E14" s="25"/>
      <c r="F14" s="25"/>
      <c r="G14" s="25"/>
      <c r="H14" s="25"/>
      <c r="I14" s="25"/>
      <c r="J14" s="7">
        <v>0</v>
      </c>
    </row>
    <row r="15" spans="2:10" ht="17.399999999999999" customHeight="1" x14ac:dyDescent="0.35">
      <c r="B15" s="18"/>
      <c r="C15" s="25"/>
      <c r="D15" s="25"/>
      <c r="E15" s="25"/>
      <c r="F15" s="25"/>
      <c r="G15" s="25"/>
      <c r="H15" s="25"/>
      <c r="I15" s="25"/>
      <c r="J15" s="7"/>
    </row>
    <row r="16" spans="2:10" ht="17.399999999999999" customHeight="1" x14ac:dyDescent="0.35">
      <c r="B16" s="18"/>
      <c r="C16" s="16"/>
      <c r="D16" s="16"/>
      <c r="E16" s="16"/>
      <c r="F16" s="16"/>
      <c r="G16" s="16"/>
      <c r="H16" s="16"/>
      <c r="I16" s="16"/>
      <c r="J16" s="7">
        <f>J13+J14+J15</f>
        <v>32000</v>
      </c>
    </row>
    <row r="17" spans="2:12" ht="15.5" x14ac:dyDescent="0.35">
      <c r="B17" s="8"/>
      <c r="C17" s="26" t="s">
        <v>47</v>
      </c>
      <c r="D17" s="26"/>
      <c r="E17" s="26"/>
      <c r="F17" s="26"/>
      <c r="G17" s="26"/>
      <c r="H17" s="26"/>
      <c r="I17" s="26"/>
      <c r="J17" s="26"/>
    </row>
    <row r="18" spans="2:12" ht="15.5" x14ac:dyDescent="0.35">
      <c r="B18" s="18"/>
      <c r="C18" s="22" t="s">
        <v>12</v>
      </c>
      <c r="D18" s="22"/>
      <c r="E18" s="22"/>
      <c r="F18" s="8"/>
      <c r="G18" s="8"/>
      <c r="H18" s="8"/>
      <c r="I18" s="8"/>
      <c r="J18" s="9">
        <v>0</v>
      </c>
    </row>
    <row r="19" spans="2:12" ht="15.5" x14ac:dyDescent="0.35">
      <c r="B19" s="18"/>
      <c r="C19" s="22" t="s">
        <v>20</v>
      </c>
      <c r="D19" s="22"/>
      <c r="E19" s="22"/>
      <c r="F19" s="8"/>
      <c r="G19" s="8"/>
      <c r="H19" s="8"/>
      <c r="I19" s="8"/>
      <c r="J19" s="9">
        <v>0</v>
      </c>
    </row>
    <row r="20" spans="2:12" ht="15.5" x14ac:dyDescent="0.35">
      <c r="B20" s="18"/>
      <c r="C20" s="22" t="s">
        <v>13</v>
      </c>
      <c r="D20" s="22"/>
      <c r="E20" s="22"/>
      <c r="F20" s="8"/>
      <c r="G20" s="8" t="s">
        <v>19</v>
      </c>
      <c r="H20" s="8"/>
      <c r="I20" s="8"/>
      <c r="J20" s="12">
        <f>J16</f>
        <v>32000</v>
      </c>
    </row>
    <row r="21" spans="2:12" ht="15.5" x14ac:dyDescent="0.35">
      <c r="B21" s="8"/>
      <c r="C21" s="22"/>
      <c r="D21" s="22"/>
      <c r="E21" s="22"/>
      <c r="F21" s="8"/>
      <c r="G21" s="8"/>
      <c r="H21" s="8"/>
      <c r="I21" s="8"/>
      <c r="J21" s="8"/>
      <c r="L21" s="11"/>
    </row>
    <row r="22" spans="2:12" x14ac:dyDescent="0.3">
      <c r="B22" s="23" t="s">
        <v>14</v>
      </c>
      <c r="C22" s="23"/>
      <c r="D22" s="23"/>
      <c r="E22" s="23"/>
      <c r="F22" s="23"/>
      <c r="G22" s="23"/>
      <c r="H22" s="23"/>
      <c r="I22" s="23"/>
      <c r="J22" s="23"/>
    </row>
    <row r="23" spans="2:12" x14ac:dyDescent="0.3">
      <c r="B23" s="23"/>
      <c r="C23" s="23"/>
      <c r="D23" s="23"/>
      <c r="E23" s="23"/>
      <c r="F23" s="23"/>
      <c r="G23" s="23"/>
      <c r="H23" s="23"/>
      <c r="I23" s="23"/>
      <c r="J23" s="23"/>
    </row>
    <row r="24" spans="2:12" x14ac:dyDescent="0.3">
      <c r="B24" s="23"/>
      <c r="C24" s="23"/>
      <c r="D24" s="23"/>
      <c r="E24" s="23"/>
      <c r="F24" s="23"/>
      <c r="G24" s="23"/>
      <c r="H24" s="23"/>
      <c r="I24" s="23"/>
      <c r="J24" s="23"/>
    </row>
    <row r="27" spans="2:12" ht="14.15" customHeight="1" x14ac:dyDescent="0.3">
      <c r="B27" s="24" t="s">
        <v>15</v>
      </c>
      <c r="C27" s="24"/>
      <c r="D27" s="24"/>
      <c r="E27" s="24"/>
      <c r="F27" s="24"/>
      <c r="G27" s="24"/>
      <c r="H27" s="24"/>
      <c r="I27" s="24"/>
      <c r="J27" s="24"/>
    </row>
    <row r="28" spans="2:12" ht="14.15" customHeight="1" x14ac:dyDescent="0.3">
      <c r="B28" s="24"/>
      <c r="C28" s="24"/>
      <c r="D28" s="24"/>
      <c r="E28" s="24"/>
      <c r="F28" s="24"/>
      <c r="G28" s="24"/>
      <c r="H28" s="24"/>
      <c r="I28" s="24"/>
      <c r="J28" s="24"/>
    </row>
    <row r="29" spans="2:12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2" x14ac:dyDescent="0.3">
      <c r="B30" s="24"/>
      <c r="C30" s="24"/>
      <c r="D30" s="24"/>
      <c r="E30" s="24"/>
      <c r="F30" s="24"/>
      <c r="G30" s="24"/>
      <c r="H30" s="24"/>
      <c r="I30" s="24"/>
      <c r="J30" s="24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7:J28"/>
    <mergeCell ref="B29:J30"/>
    <mergeCell ref="C17:J17"/>
    <mergeCell ref="C18:E18"/>
    <mergeCell ref="C19:E19"/>
    <mergeCell ref="C20:E20"/>
    <mergeCell ref="C21:E21"/>
    <mergeCell ref="B22:J24"/>
    <mergeCell ref="C15:I15"/>
    <mergeCell ref="B6:G6"/>
    <mergeCell ref="I6:J6"/>
    <mergeCell ref="B7:C7"/>
    <mergeCell ref="D7:G7"/>
    <mergeCell ref="I7:J7"/>
    <mergeCell ref="B8:C8"/>
    <mergeCell ref="D8:J8"/>
    <mergeCell ref="C11:E11"/>
    <mergeCell ref="B9:J9"/>
    <mergeCell ref="C10:E10"/>
    <mergeCell ref="C12:E12"/>
    <mergeCell ref="C13:I13"/>
    <mergeCell ref="C14:I14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6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ED71-24EF-4714-A23C-74351F7C9182}">
  <sheetPr>
    <pageSetUpPr fitToPage="1"/>
  </sheetPr>
  <dimension ref="B2:L34"/>
  <sheetViews>
    <sheetView topLeftCell="A9" zoomScaleNormal="100" workbookViewId="0">
      <selection activeCell="B24" sqref="B24:J26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223</v>
      </c>
    </row>
    <row r="5" spans="2:10" ht="18.899999999999999" customHeight="1" x14ac:dyDescent="0.3">
      <c r="B5" s="24" t="s">
        <v>1</v>
      </c>
      <c r="C5" s="24"/>
      <c r="D5" s="23" t="s">
        <v>25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45547</v>
      </c>
      <c r="J6" s="30"/>
    </row>
    <row r="7" spans="2:10" ht="20.149999999999999" customHeight="1" x14ac:dyDescent="0.3">
      <c r="B7" s="31" t="s">
        <v>3</v>
      </c>
      <c r="C7" s="31"/>
      <c r="D7" s="32" t="s">
        <v>23</v>
      </c>
      <c r="E7" s="32"/>
      <c r="F7" s="32"/>
      <c r="G7" s="32"/>
      <c r="H7" s="3" t="s">
        <v>17</v>
      </c>
      <c r="I7" s="29">
        <v>45545</v>
      </c>
      <c r="J7" s="30"/>
    </row>
    <row r="8" spans="2:10" ht="18.899999999999999" customHeight="1" x14ac:dyDescent="0.3">
      <c r="B8" s="24" t="s">
        <v>5</v>
      </c>
      <c r="C8" s="24"/>
      <c r="D8" s="23" t="s">
        <v>48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15" x14ac:dyDescent="0.3">
      <c r="B11" s="2"/>
      <c r="C11" s="24" t="s">
        <v>49</v>
      </c>
      <c r="D11" s="24"/>
      <c r="E11" s="24"/>
      <c r="F11" s="24"/>
      <c r="G11" s="24"/>
      <c r="H11" s="24"/>
      <c r="I11" s="24"/>
      <c r="J11" s="24"/>
    </row>
    <row r="12" spans="2:10" ht="48.5" customHeight="1" x14ac:dyDescent="0.3">
      <c r="B12" s="4">
        <v>1</v>
      </c>
      <c r="C12" s="32" t="s">
        <v>50</v>
      </c>
      <c r="D12" s="32"/>
      <c r="E12" s="32"/>
      <c r="F12" s="5">
        <v>1</v>
      </c>
      <c r="G12" s="13">
        <v>1013</v>
      </c>
      <c r="H12" s="4" t="s">
        <v>35</v>
      </c>
      <c r="I12" s="14">
        <v>90</v>
      </c>
      <c r="J12" s="6">
        <f>F12*I12*G12</f>
        <v>91170</v>
      </c>
    </row>
    <row r="13" spans="2:10" ht="48.5" customHeight="1" x14ac:dyDescent="0.3">
      <c r="B13" s="4">
        <v>2</v>
      </c>
      <c r="C13" s="32" t="s">
        <v>51</v>
      </c>
      <c r="D13" s="32"/>
      <c r="E13" s="32"/>
      <c r="F13" s="5">
        <v>1</v>
      </c>
      <c r="G13" s="13">
        <v>1186</v>
      </c>
      <c r="H13" s="4" t="s">
        <v>35</v>
      </c>
      <c r="I13" s="14">
        <v>80</v>
      </c>
      <c r="J13" s="6">
        <f>F13*I13*G13</f>
        <v>94880</v>
      </c>
    </row>
    <row r="14" spans="2:10" ht="48.5" customHeight="1" x14ac:dyDescent="0.3">
      <c r="B14" s="4">
        <v>3</v>
      </c>
      <c r="C14" s="32" t="s">
        <v>52</v>
      </c>
      <c r="D14" s="32"/>
      <c r="E14" s="32"/>
      <c r="F14" s="5">
        <v>1</v>
      </c>
      <c r="G14" s="13">
        <v>1989</v>
      </c>
      <c r="H14" s="4" t="s">
        <v>35</v>
      </c>
      <c r="I14" s="14">
        <v>70</v>
      </c>
      <c r="J14" s="6">
        <f>F14*I14*G14</f>
        <v>139230</v>
      </c>
    </row>
    <row r="15" spans="2:10" ht="17.399999999999999" customHeight="1" x14ac:dyDescent="0.35">
      <c r="B15" s="18"/>
      <c r="C15" s="27" t="s">
        <v>18</v>
      </c>
      <c r="D15" s="27"/>
      <c r="E15" s="27"/>
      <c r="F15" s="27"/>
      <c r="G15" s="27"/>
      <c r="H15" s="27"/>
      <c r="I15" s="27"/>
      <c r="J15" s="7">
        <f>SUM(J12:J14)</f>
        <v>325280</v>
      </c>
    </row>
    <row r="16" spans="2:10" ht="17.399999999999999" customHeight="1" x14ac:dyDescent="0.35">
      <c r="B16" s="18"/>
      <c r="C16" s="25" t="s">
        <v>24</v>
      </c>
      <c r="D16" s="25"/>
      <c r="E16" s="25"/>
      <c r="F16" s="25"/>
      <c r="G16" s="25"/>
      <c r="H16" s="25"/>
      <c r="I16" s="25"/>
      <c r="J16" s="7">
        <v>0</v>
      </c>
    </row>
    <row r="17" spans="2:12" ht="17.399999999999999" customHeight="1" x14ac:dyDescent="0.35">
      <c r="B17" s="18"/>
      <c r="C17" s="25"/>
      <c r="D17" s="25"/>
      <c r="E17" s="25"/>
      <c r="F17" s="25"/>
      <c r="G17" s="25"/>
      <c r="H17" s="25"/>
      <c r="I17" s="25"/>
      <c r="J17" s="7"/>
    </row>
    <row r="18" spans="2:12" ht="17.399999999999999" customHeight="1" x14ac:dyDescent="0.35">
      <c r="B18" s="18"/>
      <c r="C18" s="16"/>
      <c r="D18" s="16"/>
      <c r="E18" s="16"/>
      <c r="F18" s="16"/>
      <c r="G18" s="16"/>
      <c r="H18" s="16"/>
      <c r="I18" s="16"/>
      <c r="J18" s="7">
        <f>J15+J16+J17</f>
        <v>325280</v>
      </c>
    </row>
    <row r="19" spans="2:12" ht="15.5" x14ac:dyDescent="0.35">
      <c r="B19" s="8"/>
      <c r="C19" s="26" t="s">
        <v>53</v>
      </c>
      <c r="D19" s="26"/>
      <c r="E19" s="26"/>
      <c r="F19" s="26"/>
      <c r="G19" s="26"/>
      <c r="H19" s="26"/>
      <c r="I19" s="26"/>
      <c r="J19" s="26"/>
    </row>
    <row r="20" spans="2:12" ht="15.5" x14ac:dyDescent="0.35">
      <c r="B20" s="18"/>
      <c r="C20" s="22" t="s">
        <v>12</v>
      </c>
      <c r="D20" s="22"/>
      <c r="E20" s="22"/>
      <c r="F20" s="8"/>
      <c r="G20" s="8"/>
      <c r="H20" s="8"/>
      <c r="I20" s="8"/>
      <c r="J20" s="9">
        <v>0</v>
      </c>
    </row>
    <row r="21" spans="2:12" ht="15.5" x14ac:dyDescent="0.35">
      <c r="B21" s="18"/>
      <c r="C21" s="22" t="s">
        <v>20</v>
      </c>
      <c r="D21" s="22"/>
      <c r="E21" s="22"/>
      <c r="F21" s="8"/>
      <c r="G21" s="8"/>
      <c r="H21" s="8"/>
      <c r="I21" s="8"/>
      <c r="J21" s="9">
        <v>0</v>
      </c>
    </row>
    <row r="22" spans="2:12" ht="15.5" x14ac:dyDescent="0.35">
      <c r="B22" s="18"/>
      <c r="C22" s="22" t="s">
        <v>13</v>
      </c>
      <c r="D22" s="22"/>
      <c r="E22" s="22"/>
      <c r="F22" s="8"/>
      <c r="G22" s="8" t="s">
        <v>19</v>
      </c>
      <c r="H22" s="8"/>
      <c r="I22" s="8"/>
      <c r="J22" s="12">
        <f>J18</f>
        <v>325280</v>
      </c>
    </row>
    <row r="23" spans="2:12" ht="15.5" x14ac:dyDescent="0.35">
      <c r="B23" s="8"/>
      <c r="C23" s="22"/>
      <c r="D23" s="22"/>
      <c r="E23" s="22"/>
      <c r="F23" s="8"/>
      <c r="G23" s="8"/>
      <c r="H23" s="8"/>
      <c r="I23" s="8"/>
      <c r="J23" s="8"/>
      <c r="L23" s="11"/>
    </row>
    <row r="24" spans="2:12" x14ac:dyDescent="0.3">
      <c r="B24" s="23" t="s">
        <v>14</v>
      </c>
      <c r="C24" s="23"/>
      <c r="D24" s="23"/>
      <c r="E24" s="23"/>
      <c r="F24" s="23"/>
      <c r="G24" s="23"/>
      <c r="H24" s="23"/>
      <c r="I24" s="23"/>
      <c r="J24" s="23"/>
    </row>
    <row r="25" spans="2:12" x14ac:dyDescent="0.3">
      <c r="B25" s="23"/>
      <c r="C25" s="23"/>
      <c r="D25" s="23"/>
      <c r="E25" s="23"/>
      <c r="F25" s="23"/>
      <c r="G25" s="23"/>
      <c r="H25" s="23"/>
      <c r="I25" s="23"/>
      <c r="J25" s="23"/>
    </row>
    <row r="26" spans="2:12" x14ac:dyDescent="0.3">
      <c r="B26" s="23"/>
      <c r="C26" s="23"/>
      <c r="D26" s="23"/>
      <c r="E26" s="23"/>
      <c r="F26" s="23"/>
      <c r="G26" s="23"/>
      <c r="H26" s="23"/>
      <c r="I26" s="23"/>
      <c r="J26" s="23"/>
    </row>
    <row r="29" spans="2:12" ht="14.15" customHeight="1" x14ac:dyDescent="0.3">
      <c r="B29" s="24" t="s">
        <v>15</v>
      </c>
      <c r="C29" s="24"/>
      <c r="D29" s="24"/>
      <c r="E29" s="24"/>
      <c r="F29" s="24"/>
      <c r="G29" s="24"/>
      <c r="H29" s="24"/>
      <c r="I29" s="24"/>
      <c r="J29" s="24"/>
    </row>
    <row r="30" spans="2:12" ht="14.15" customHeight="1" x14ac:dyDescent="0.3">
      <c r="B30" s="24"/>
      <c r="C30" s="24"/>
      <c r="D30" s="24"/>
      <c r="E30" s="24"/>
      <c r="F30" s="24"/>
      <c r="G30" s="24"/>
      <c r="H30" s="24"/>
      <c r="I30" s="24"/>
      <c r="J30" s="24"/>
    </row>
    <row r="31" spans="2:12" x14ac:dyDescent="0.3">
      <c r="B31" s="24"/>
      <c r="C31" s="24"/>
      <c r="D31" s="24"/>
      <c r="E31" s="24"/>
      <c r="F31" s="24"/>
      <c r="G31" s="24"/>
      <c r="H31" s="24"/>
      <c r="I31" s="24"/>
      <c r="J31" s="24"/>
    </row>
    <row r="32" spans="2:12" x14ac:dyDescent="0.3">
      <c r="B32" s="24"/>
      <c r="C32" s="24"/>
      <c r="D32" s="24"/>
      <c r="E32" s="24"/>
      <c r="F32" s="24"/>
      <c r="G32" s="24"/>
      <c r="H32" s="24"/>
      <c r="I32" s="24"/>
      <c r="J32" s="24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24:J26"/>
    <mergeCell ref="B29:J30"/>
    <mergeCell ref="B31:J32"/>
    <mergeCell ref="C13:E13"/>
    <mergeCell ref="C11:J11"/>
    <mergeCell ref="C17:I17"/>
    <mergeCell ref="C19:J19"/>
    <mergeCell ref="C20:E20"/>
    <mergeCell ref="C21:E21"/>
    <mergeCell ref="C22:E22"/>
    <mergeCell ref="C23:E23"/>
    <mergeCell ref="C16:I16"/>
    <mergeCell ref="B9:J9"/>
    <mergeCell ref="C10:E10"/>
    <mergeCell ref="C12:E12"/>
    <mergeCell ref="C14:E14"/>
    <mergeCell ref="C15:I15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6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D6E2-2344-4C28-9501-E4513EC3B602}">
  <sheetPr>
    <pageSetUpPr fitToPage="1"/>
  </sheetPr>
  <dimension ref="B2:L35"/>
  <sheetViews>
    <sheetView topLeftCell="A10" zoomScaleNormal="100" workbookViewId="0">
      <selection activeCell="B2" sqref="B2:J3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224</v>
      </c>
    </row>
    <row r="5" spans="2:10" ht="18.899999999999999" customHeight="1" x14ac:dyDescent="0.3">
      <c r="B5" s="24" t="s">
        <v>1</v>
      </c>
      <c r="C5" s="24"/>
      <c r="D5" s="23" t="s">
        <v>25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45560</v>
      </c>
      <c r="J6" s="30"/>
    </row>
    <row r="7" spans="2:10" ht="20.149999999999999" customHeight="1" x14ac:dyDescent="0.3">
      <c r="B7" s="31" t="s">
        <v>3</v>
      </c>
      <c r="C7" s="31"/>
      <c r="D7" s="32" t="s">
        <v>54</v>
      </c>
      <c r="E7" s="32"/>
      <c r="F7" s="32"/>
      <c r="G7" s="32"/>
      <c r="H7" s="3" t="s">
        <v>17</v>
      </c>
      <c r="I7" s="29">
        <v>45558</v>
      </c>
      <c r="J7" s="30"/>
    </row>
    <row r="8" spans="2:10" ht="18.899999999999999" customHeight="1" x14ac:dyDescent="0.3">
      <c r="B8" s="24" t="s">
        <v>5</v>
      </c>
      <c r="C8" s="24"/>
      <c r="D8" s="23" t="s">
        <v>54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15" x14ac:dyDescent="0.3">
      <c r="B11" s="2"/>
      <c r="C11" s="24" t="s">
        <v>55</v>
      </c>
      <c r="D11" s="24"/>
      <c r="E11" s="24"/>
      <c r="F11" s="24"/>
      <c r="G11" s="24"/>
      <c r="H11" s="24"/>
      <c r="I11" s="24"/>
      <c r="J11" s="24"/>
    </row>
    <row r="12" spans="2:10" ht="48.5" customHeight="1" x14ac:dyDescent="0.3">
      <c r="B12" s="4">
        <v>1</v>
      </c>
      <c r="C12" s="32" t="s">
        <v>56</v>
      </c>
      <c r="D12" s="32"/>
      <c r="E12" s="32"/>
      <c r="F12" s="5">
        <v>1</v>
      </c>
      <c r="G12" s="13">
        <v>26</v>
      </c>
      <c r="H12" s="4" t="s">
        <v>26</v>
      </c>
      <c r="I12" s="14">
        <f>34000*20%</f>
        <v>6800</v>
      </c>
      <c r="J12" s="6">
        <f>F12*I12*G12</f>
        <v>176800</v>
      </c>
    </row>
    <row r="13" spans="2:10" ht="48.5" customHeight="1" x14ac:dyDescent="0.3">
      <c r="B13" s="4">
        <v>2</v>
      </c>
      <c r="C13" s="32" t="s">
        <v>57</v>
      </c>
      <c r="D13" s="32"/>
      <c r="E13" s="32"/>
      <c r="F13" s="5">
        <v>1</v>
      </c>
      <c r="G13" s="13">
        <v>20</v>
      </c>
      <c r="H13" s="4" t="s">
        <v>26</v>
      </c>
      <c r="I13" s="14">
        <f>34000*20%</f>
        <v>6800</v>
      </c>
      <c r="J13" s="6">
        <f>F13*I13*G13</f>
        <v>136000</v>
      </c>
    </row>
    <row r="14" spans="2:10" ht="48.5" customHeight="1" x14ac:dyDescent="0.3">
      <c r="B14" s="4">
        <v>3</v>
      </c>
      <c r="C14" s="32" t="s">
        <v>58</v>
      </c>
      <c r="D14" s="32"/>
      <c r="E14" s="32"/>
      <c r="F14" s="5">
        <v>1</v>
      </c>
      <c r="G14" s="13">
        <v>13</v>
      </c>
      <c r="H14" s="4" t="s">
        <v>26</v>
      </c>
      <c r="I14" s="14">
        <f>34000*25%</f>
        <v>8500</v>
      </c>
      <c r="J14" s="6">
        <f>F14*I14*G14</f>
        <v>110500</v>
      </c>
    </row>
    <row r="15" spans="2:10" ht="48.5" customHeight="1" x14ac:dyDescent="0.3">
      <c r="B15" s="4">
        <v>4</v>
      </c>
      <c r="C15" s="32" t="s">
        <v>59</v>
      </c>
      <c r="D15" s="32"/>
      <c r="E15" s="32"/>
      <c r="F15" s="5">
        <v>1</v>
      </c>
      <c r="G15" s="13">
        <v>13</v>
      </c>
      <c r="H15" s="4" t="s">
        <v>26</v>
      </c>
      <c r="I15" s="14">
        <f>34000*10%</f>
        <v>3400</v>
      </c>
      <c r="J15" s="6">
        <f>F15*I15*G15</f>
        <v>44200</v>
      </c>
    </row>
    <row r="16" spans="2:10" ht="17.399999999999999" customHeight="1" x14ac:dyDescent="0.35">
      <c r="B16" s="18"/>
      <c r="C16" s="27" t="s">
        <v>18</v>
      </c>
      <c r="D16" s="27"/>
      <c r="E16" s="27"/>
      <c r="F16" s="27"/>
      <c r="G16" s="27"/>
      <c r="H16" s="27"/>
      <c r="I16" s="27"/>
      <c r="J16" s="7">
        <f>SUM(J12:J15)</f>
        <v>467500</v>
      </c>
    </row>
    <row r="17" spans="2:12" ht="17.399999999999999" customHeight="1" x14ac:dyDescent="0.35">
      <c r="B17" s="18"/>
      <c r="C17" s="25" t="s">
        <v>24</v>
      </c>
      <c r="D17" s="25"/>
      <c r="E17" s="25"/>
      <c r="F17" s="25"/>
      <c r="G17" s="25"/>
      <c r="H17" s="25"/>
      <c r="I17" s="25"/>
      <c r="J17" s="7">
        <v>0</v>
      </c>
    </row>
    <row r="18" spans="2:12" ht="17.399999999999999" customHeight="1" x14ac:dyDescent="0.35">
      <c r="B18" s="18"/>
      <c r="C18" s="25"/>
      <c r="D18" s="25"/>
      <c r="E18" s="25"/>
      <c r="F18" s="25"/>
      <c r="G18" s="25"/>
      <c r="H18" s="25"/>
      <c r="I18" s="25"/>
      <c r="J18" s="7"/>
    </row>
    <row r="19" spans="2:12" ht="17.399999999999999" customHeight="1" x14ac:dyDescent="0.35">
      <c r="B19" s="18"/>
      <c r="C19" s="16"/>
      <c r="D19" s="16"/>
      <c r="E19" s="16"/>
      <c r="F19" s="16"/>
      <c r="G19" s="16"/>
      <c r="H19" s="16"/>
      <c r="I19" s="16"/>
      <c r="J19" s="7">
        <f>J16+J17+J18</f>
        <v>467500</v>
      </c>
    </row>
    <row r="20" spans="2:12" ht="15.5" x14ac:dyDescent="0.35">
      <c r="B20" s="8"/>
      <c r="C20" s="26" t="s">
        <v>60</v>
      </c>
      <c r="D20" s="26"/>
      <c r="E20" s="26"/>
      <c r="F20" s="26"/>
      <c r="G20" s="26"/>
      <c r="H20" s="26"/>
      <c r="I20" s="26"/>
      <c r="J20" s="26"/>
    </row>
    <row r="21" spans="2:12" ht="15.5" x14ac:dyDescent="0.35">
      <c r="B21" s="18"/>
      <c r="C21" s="22" t="s">
        <v>12</v>
      </c>
      <c r="D21" s="22"/>
      <c r="E21" s="22"/>
      <c r="F21" s="8"/>
      <c r="G21" s="8"/>
      <c r="H21" s="8"/>
      <c r="I21" s="8"/>
      <c r="J21" s="9">
        <v>0</v>
      </c>
    </row>
    <row r="22" spans="2:12" ht="15.5" x14ac:dyDescent="0.35">
      <c r="B22" s="18"/>
      <c r="C22" s="22" t="s">
        <v>20</v>
      </c>
      <c r="D22" s="22"/>
      <c r="E22" s="22"/>
      <c r="F22" s="8"/>
      <c r="G22" s="8"/>
      <c r="H22" s="8"/>
      <c r="I22" s="8"/>
      <c r="J22" s="9">
        <v>0</v>
      </c>
    </row>
    <row r="23" spans="2:12" ht="15.5" x14ac:dyDescent="0.35">
      <c r="B23" s="18"/>
      <c r="C23" s="22" t="s">
        <v>13</v>
      </c>
      <c r="D23" s="22"/>
      <c r="E23" s="22"/>
      <c r="F23" s="8"/>
      <c r="G23" s="8" t="s">
        <v>19</v>
      </c>
      <c r="H23" s="8"/>
      <c r="I23" s="8"/>
      <c r="J23" s="12">
        <f>J19</f>
        <v>467500</v>
      </c>
    </row>
    <row r="24" spans="2:12" ht="15.5" x14ac:dyDescent="0.35">
      <c r="B24" s="8"/>
      <c r="C24" s="22"/>
      <c r="D24" s="22"/>
      <c r="E24" s="22"/>
      <c r="F24" s="8"/>
      <c r="G24" s="8"/>
      <c r="H24" s="8"/>
      <c r="I24" s="8"/>
      <c r="J24" s="8"/>
      <c r="L24" s="11"/>
    </row>
    <row r="25" spans="2:12" x14ac:dyDescent="0.3">
      <c r="B25" s="23" t="s">
        <v>14</v>
      </c>
      <c r="C25" s="23"/>
      <c r="D25" s="23"/>
      <c r="E25" s="23"/>
      <c r="F25" s="23"/>
      <c r="G25" s="23"/>
      <c r="H25" s="23"/>
      <c r="I25" s="23"/>
      <c r="J25" s="23"/>
    </row>
    <row r="26" spans="2:12" x14ac:dyDescent="0.3">
      <c r="B26" s="23"/>
      <c r="C26" s="23"/>
      <c r="D26" s="23"/>
      <c r="E26" s="23"/>
      <c r="F26" s="23"/>
      <c r="G26" s="23"/>
      <c r="H26" s="23"/>
      <c r="I26" s="23"/>
      <c r="J26" s="23"/>
    </row>
    <row r="27" spans="2:12" x14ac:dyDescent="0.3">
      <c r="B27" s="23"/>
      <c r="C27" s="23"/>
      <c r="D27" s="23"/>
      <c r="E27" s="23"/>
      <c r="F27" s="23"/>
      <c r="G27" s="23"/>
      <c r="H27" s="23"/>
      <c r="I27" s="23"/>
      <c r="J27" s="23"/>
    </row>
    <row r="30" spans="2:12" ht="14.15" customHeight="1" x14ac:dyDescent="0.3">
      <c r="B30" s="24" t="s">
        <v>15</v>
      </c>
      <c r="C30" s="24"/>
      <c r="D30" s="24"/>
      <c r="E30" s="24"/>
      <c r="F30" s="24"/>
      <c r="G30" s="24"/>
      <c r="H30" s="24"/>
      <c r="I30" s="24"/>
      <c r="J30" s="24"/>
    </row>
    <row r="31" spans="2:12" ht="14.15" customHeight="1" x14ac:dyDescent="0.3">
      <c r="B31" s="24"/>
      <c r="C31" s="24"/>
      <c r="D31" s="24"/>
      <c r="E31" s="24"/>
      <c r="F31" s="24"/>
      <c r="G31" s="24"/>
      <c r="H31" s="24"/>
      <c r="I31" s="24"/>
      <c r="J31" s="24"/>
    </row>
    <row r="32" spans="2:12" x14ac:dyDescent="0.3">
      <c r="B32" s="24"/>
      <c r="C32" s="24"/>
      <c r="D32" s="24"/>
      <c r="E32" s="24"/>
      <c r="F32" s="24"/>
      <c r="G32" s="24"/>
      <c r="H32" s="24"/>
      <c r="I32" s="24"/>
      <c r="J32" s="24"/>
    </row>
    <row r="33" spans="2:10" x14ac:dyDescent="0.3">
      <c r="B33" s="24"/>
      <c r="C33" s="24"/>
      <c r="D33" s="24"/>
      <c r="E33" s="24"/>
      <c r="F33" s="24"/>
      <c r="G33" s="24"/>
      <c r="H33" s="24"/>
      <c r="I33" s="24"/>
      <c r="J33" s="24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</sheetData>
  <mergeCells count="31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21:E21"/>
    <mergeCell ref="C22:E22"/>
    <mergeCell ref="B9:J9"/>
    <mergeCell ref="C10:E10"/>
    <mergeCell ref="C11:J11"/>
    <mergeCell ref="C12:E12"/>
    <mergeCell ref="C13:E13"/>
    <mergeCell ref="C15:E15"/>
    <mergeCell ref="C14:E14"/>
    <mergeCell ref="C16:I16"/>
    <mergeCell ref="C17:I17"/>
    <mergeCell ref="C18:I18"/>
    <mergeCell ref="C20:J20"/>
    <mergeCell ref="C23:E23"/>
    <mergeCell ref="C24:E24"/>
    <mergeCell ref="B25:J27"/>
    <mergeCell ref="B30:J31"/>
    <mergeCell ref="B32:J33"/>
  </mergeCells>
  <pageMargins left="0.7" right="0.7" top="0.75" bottom="0.75" header="0.3" footer="0.3"/>
  <pageSetup paperSize="9" scale="6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EA77-D004-426A-B4D8-370C1429E4B5}">
  <sheetPr>
    <pageSetUpPr fitToPage="1"/>
  </sheetPr>
  <dimension ref="B2:L35"/>
  <sheetViews>
    <sheetView topLeftCell="A10" zoomScaleNormal="100" workbookViewId="0">
      <selection activeCell="B2" sqref="B2:J3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242</v>
      </c>
    </row>
    <row r="5" spans="2:10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45616</v>
      </c>
      <c r="J6" s="30"/>
    </row>
    <row r="7" spans="2:10" ht="20.149999999999999" customHeight="1" x14ac:dyDescent="0.3">
      <c r="B7" s="31" t="s">
        <v>3</v>
      </c>
      <c r="C7" s="31"/>
      <c r="D7" s="32" t="s">
        <v>54</v>
      </c>
      <c r="E7" s="32"/>
      <c r="F7" s="32"/>
      <c r="G7" s="32"/>
      <c r="H7" s="3" t="s">
        <v>17</v>
      </c>
      <c r="I7" s="29">
        <v>45615</v>
      </c>
      <c r="J7" s="30"/>
    </row>
    <row r="8" spans="2:10" ht="18.899999999999999" customHeight="1" x14ac:dyDescent="0.3">
      <c r="B8" s="24" t="s">
        <v>5</v>
      </c>
      <c r="C8" s="24"/>
      <c r="D8" s="23" t="s">
        <v>54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15" x14ac:dyDescent="0.3">
      <c r="B11" s="2"/>
      <c r="C11" s="24" t="s">
        <v>55</v>
      </c>
      <c r="D11" s="24"/>
      <c r="E11" s="24"/>
      <c r="F11" s="24"/>
      <c r="G11" s="24"/>
      <c r="H11" s="24"/>
      <c r="I11" s="24"/>
      <c r="J11" s="24"/>
    </row>
    <row r="12" spans="2:10" ht="48.5" customHeight="1" x14ac:dyDescent="0.3">
      <c r="B12" s="4">
        <v>1</v>
      </c>
      <c r="C12" s="32" t="s">
        <v>61</v>
      </c>
      <c r="D12" s="32"/>
      <c r="E12" s="32"/>
      <c r="F12" s="5">
        <v>1</v>
      </c>
      <c r="G12" s="13">
        <v>4</v>
      </c>
      <c r="H12" s="4" t="s">
        <v>26</v>
      </c>
      <c r="I12" s="14">
        <f>34000*20%</f>
        <v>6800</v>
      </c>
      <c r="J12" s="6">
        <f>F12*I12*G12</f>
        <v>27200</v>
      </c>
    </row>
    <row r="13" spans="2:10" ht="48.5" customHeight="1" x14ac:dyDescent="0.3">
      <c r="B13" s="4">
        <v>2</v>
      </c>
      <c r="C13" s="32" t="s">
        <v>62</v>
      </c>
      <c r="D13" s="32"/>
      <c r="E13" s="32"/>
      <c r="F13" s="5">
        <v>1</v>
      </c>
      <c r="G13" s="13">
        <v>11</v>
      </c>
      <c r="H13" s="4" t="s">
        <v>26</v>
      </c>
      <c r="I13" s="14">
        <f>34000*25%</f>
        <v>8500</v>
      </c>
      <c r="J13" s="6">
        <f>F13*I13*G13</f>
        <v>93500</v>
      </c>
    </row>
    <row r="14" spans="2:10" ht="48.5" customHeight="1" x14ac:dyDescent="0.3">
      <c r="B14" s="4">
        <v>3</v>
      </c>
      <c r="C14" s="32" t="s">
        <v>63</v>
      </c>
      <c r="D14" s="32"/>
      <c r="E14" s="32"/>
      <c r="F14" s="5">
        <v>1</v>
      </c>
      <c r="G14" s="13">
        <v>11</v>
      </c>
      <c r="H14" s="4" t="s">
        <v>26</v>
      </c>
      <c r="I14" s="14">
        <f>34000*10%</f>
        <v>3400</v>
      </c>
      <c r="J14" s="6">
        <f>F14*I14*G14</f>
        <v>37400</v>
      </c>
    </row>
    <row r="15" spans="2:10" ht="48.5" customHeight="1" x14ac:dyDescent="0.3">
      <c r="B15" s="4">
        <v>4</v>
      </c>
      <c r="C15" s="32" t="s">
        <v>64</v>
      </c>
      <c r="D15" s="32"/>
      <c r="E15" s="32"/>
      <c r="F15" s="5">
        <v>1</v>
      </c>
      <c r="G15" s="13">
        <v>26</v>
      </c>
      <c r="H15" s="4" t="s">
        <v>26</v>
      </c>
      <c r="I15" s="14">
        <f>34000*10%</f>
        <v>3400</v>
      </c>
      <c r="J15" s="6">
        <f>F15*I15*G15</f>
        <v>88400</v>
      </c>
    </row>
    <row r="16" spans="2:10" ht="17.399999999999999" customHeight="1" x14ac:dyDescent="0.35">
      <c r="B16" s="18"/>
      <c r="C16" s="27" t="s">
        <v>18</v>
      </c>
      <c r="D16" s="27"/>
      <c r="E16" s="27"/>
      <c r="F16" s="27"/>
      <c r="G16" s="27"/>
      <c r="H16" s="27"/>
      <c r="I16" s="27"/>
      <c r="J16" s="7">
        <f>SUM(J12:J15)</f>
        <v>246500</v>
      </c>
    </row>
    <row r="17" spans="2:12" ht="17.399999999999999" customHeight="1" x14ac:dyDescent="0.35">
      <c r="B17" s="18"/>
      <c r="C17" s="25" t="s">
        <v>24</v>
      </c>
      <c r="D17" s="25"/>
      <c r="E17" s="25"/>
      <c r="F17" s="25"/>
      <c r="G17" s="25"/>
      <c r="H17" s="25"/>
      <c r="I17" s="25"/>
      <c r="J17" s="7">
        <v>0</v>
      </c>
    </row>
    <row r="18" spans="2:12" ht="17.399999999999999" customHeight="1" x14ac:dyDescent="0.35">
      <c r="B18" s="18"/>
      <c r="C18" s="25"/>
      <c r="D18" s="25"/>
      <c r="E18" s="25"/>
      <c r="F18" s="25"/>
      <c r="G18" s="25"/>
      <c r="H18" s="25"/>
      <c r="I18" s="25"/>
      <c r="J18" s="7"/>
    </row>
    <row r="19" spans="2:12" ht="17.399999999999999" customHeight="1" x14ac:dyDescent="0.35">
      <c r="B19" s="18"/>
      <c r="C19" s="16"/>
      <c r="D19" s="16"/>
      <c r="E19" s="16"/>
      <c r="F19" s="16"/>
      <c r="G19" s="16"/>
      <c r="H19" s="16"/>
      <c r="I19" s="16"/>
      <c r="J19" s="7">
        <f>J16+J17+J18</f>
        <v>246500</v>
      </c>
    </row>
    <row r="20" spans="2:12" ht="15.5" x14ac:dyDescent="0.35">
      <c r="B20" s="8"/>
      <c r="C20" s="26" t="s">
        <v>65</v>
      </c>
      <c r="D20" s="26"/>
      <c r="E20" s="26"/>
      <c r="F20" s="26"/>
      <c r="G20" s="26"/>
      <c r="H20" s="26"/>
      <c r="I20" s="26"/>
      <c r="J20" s="26"/>
    </row>
    <row r="21" spans="2:12" ht="15.5" x14ac:dyDescent="0.35">
      <c r="B21" s="18"/>
      <c r="C21" s="22" t="s">
        <v>12</v>
      </c>
      <c r="D21" s="22"/>
      <c r="E21" s="22"/>
      <c r="F21" s="8"/>
      <c r="G21" s="8"/>
      <c r="H21" s="8"/>
      <c r="I21" s="8"/>
      <c r="J21" s="9">
        <v>0</v>
      </c>
    </row>
    <row r="22" spans="2:12" ht="15.5" x14ac:dyDescent="0.35">
      <c r="B22" s="18"/>
      <c r="C22" s="22" t="s">
        <v>20</v>
      </c>
      <c r="D22" s="22"/>
      <c r="E22" s="22"/>
      <c r="F22" s="8"/>
      <c r="G22" s="8"/>
      <c r="H22" s="8"/>
      <c r="I22" s="8"/>
      <c r="J22" s="9">
        <v>0</v>
      </c>
    </row>
    <row r="23" spans="2:12" ht="15.5" x14ac:dyDescent="0.35">
      <c r="B23" s="18"/>
      <c r="C23" s="22" t="s">
        <v>13</v>
      </c>
      <c r="D23" s="22"/>
      <c r="E23" s="22"/>
      <c r="F23" s="8"/>
      <c r="G23" s="8" t="s">
        <v>19</v>
      </c>
      <c r="H23" s="8"/>
      <c r="I23" s="8"/>
      <c r="J23" s="12">
        <f>J19</f>
        <v>246500</v>
      </c>
    </row>
    <row r="24" spans="2:12" ht="15.5" x14ac:dyDescent="0.35">
      <c r="B24" s="8"/>
      <c r="C24" s="22"/>
      <c r="D24" s="22"/>
      <c r="E24" s="22"/>
      <c r="F24" s="8"/>
      <c r="G24" s="8"/>
      <c r="H24" s="8"/>
      <c r="I24" s="8"/>
      <c r="J24" s="8"/>
      <c r="L24" s="11"/>
    </row>
    <row r="25" spans="2:12" x14ac:dyDescent="0.3">
      <c r="B25" s="23" t="s">
        <v>14</v>
      </c>
      <c r="C25" s="23"/>
      <c r="D25" s="23"/>
      <c r="E25" s="23"/>
      <c r="F25" s="23"/>
      <c r="G25" s="23"/>
      <c r="H25" s="23"/>
      <c r="I25" s="23"/>
      <c r="J25" s="23"/>
    </row>
    <row r="26" spans="2:12" x14ac:dyDescent="0.3">
      <c r="B26" s="23"/>
      <c r="C26" s="23"/>
      <c r="D26" s="23"/>
      <c r="E26" s="23"/>
      <c r="F26" s="23"/>
      <c r="G26" s="23"/>
      <c r="H26" s="23"/>
      <c r="I26" s="23"/>
      <c r="J26" s="23"/>
    </row>
    <row r="27" spans="2:12" x14ac:dyDescent="0.3">
      <c r="B27" s="23"/>
      <c r="C27" s="23"/>
      <c r="D27" s="23"/>
      <c r="E27" s="23"/>
      <c r="F27" s="23"/>
      <c r="G27" s="23"/>
      <c r="H27" s="23"/>
      <c r="I27" s="23"/>
      <c r="J27" s="23"/>
    </row>
    <row r="30" spans="2:12" ht="14.15" customHeight="1" x14ac:dyDescent="0.3">
      <c r="B30" s="24" t="s">
        <v>15</v>
      </c>
      <c r="C30" s="24"/>
      <c r="D30" s="24"/>
      <c r="E30" s="24"/>
      <c r="F30" s="24"/>
      <c r="G30" s="24"/>
      <c r="H30" s="24"/>
      <c r="I30" s="24"/>
      <c r="J30" s="24"/>
    </row>
    <row r="31" spans="2:12" ht="14.15" customHeight="1" x14ac:dyDescent="0.3">
      <c r="B31" s="24"/>
      <c r="C31" s="24"/>
      <c r="D31" s="24"/>
      <c r="E31" s="24"/>
      <c r="F31" s="24"/>
      <c r="G31" s="24"/>
      <c r="H31" s="24"/>
      <c r="I31" s="24"/>
      <c r="J31" s="24"/>
    </row>
    <row r="32" spans="2:12" x14ac:dyDescent="0.3">
      <c r="B32" s="24"/>
      <c r="C32" s="24"/>
      <c r="D32" s="24"/>
      <c r="E32" s="24"/>
      <c r="F32" s="24"/>
      <c r="G32" s="24"/>
      <c r="H32" s="24"/>
      <c r="I32" s="24"/>
      <c r="J32" s="24"/>
    </row>
    <row r="33" spans="2:10" x14ac:dyDescent="0.3">
      <c r="B33" s="24"/>
      <c r="C33" s="24"/>
      <c r="D33" s="24"/>
      <c r="E33" s="24"/>
      <c r="F33" s="24"/>
      <c r="G33" s="24"/>
      <c r="H33" s="24"/>
      <c r="I33" s="24"/>
      <c r="J33" s="24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</sheetData>
  <mergeCells count="31">
    <mergeCell ref="C14:E14"/>
    <mergeCell ref="C22:E22"/>
    <mergeCell ref="C23:E23"/>
    <mergeCell ref="C24:E24"/>
    <mergeCell ref="B25:J27"/>
    <mergeCell ref="B30:J31"/>
    <mergeCell ref="B32:J33"/>
    <mergeCell ref="C15:E15"/>
    <mergeCell ref="C16:I16"/>
    <mergeCell ref="C17:I17"/>
    <mergeCell ref="C18:I18"/>
    <mergeCell ref="C20:J20"/>
    <mergeCell ref="C21:E21"/>
    <mergeCell ref="B9:J9"/>
    <mergeCell ref="C10:E10"/>
    <mergeCell ref="C11:J11"/>
    <mergeCell ref="C12:E12"/>
    <mergeCell ref="C13:E13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6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E957-D3FB-41D3-827F-CFDCBC392676}">
  <sheetPr>
    <pageSetUpPr fitToPage="1"/>
  </sheetPr>
  <dimension ref="B2:L34"/>
  <sheetViews>
    <sheetView topLeftCell="A7" zoomScaleNormal="100" workbookViewId="0">
      <selection activeCell="I12" sqref="I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250</v>
      </c>
    </row>
    <row r="5" spans="2:10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45639</v>
      </c>
      <c r="J6" s="30"/>
    </row>
    <row r="7" spans="2:10" ht="20.149999999999999" customHeight="1" x14ac:dyDescent="0.3">
      <c r="B7" s="31" t="s">
        <v>3</v>
      </c>
      <c r="C7" s="31"/>
      <c r="D7" s="32" t="s">
        <v>54</v>
      </c>
      <c r="E7" s="32"/>
      <c r="F7" s="32"/>
      <c r="G7" s="32"/>
      <c r="H7" s="3" t="s">
        <v>17</v>
      </c>
      <c r="I7" s="29">
        <v>45636</v>
      </c>
      <c r="J7" s="30"/>
    </row>
    <row r="8" spans="2:10" ht="18.899999999999999" customHeight="1" x14ac:dyDescent="0.3">
      <c r="B8" s="24" t="s">
        <v>5</v>
      </c>
      <c r="C8" s="24"/>
      <c r="D8" s="23" t="s">
        <v>54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15" x14ac:dyDescent="0.3">
      <c r="B11" s="2"/>
      <c r="C11" s="24" t="s">
        <v>55</v>
      </c>
      <c r="D11" s="24"/>
      <c r="E11" s="24"/>
      <c r="F11" s="24"/>
      <c r="G11" s="24"/>
      <c r="H11" s="24"/>
      <c r="I11" s="24"/>
      <c r="J11" s="24"/>
    </row>
    <row r="12" spans="2:10" ht="41" customHeight="1" x14ac:dyDescent="0.3">
      <c r="B12" s="4">
        <v>1</v>
      </c>
      <c r="C12" s="32" t="s">
        <v>67</v>
      </c>
      <c r="D12" s="32"/>
      <c r="E12" s="32"/>
      <c r="F12" s="5">
        <v>1</v>
      </c>
      <c r="G12" s="13">
        <v>1</v>
      </c>
      <c r="H12" s="4" t="s">
        <v>26</v>
      </c>
      <c r="I12" s="14">
        <f>34000*20%</f>
        <v>6800</v>
      </c>
      <c r="J12" s="6">
        <f>F12*I12*G12</f>
        <v>6800</v>
      </c>
    </row>
    <row r="13" spans="2:10" ht="33" customHeight="1" x14ac:dyDescent="0.3">
      <c r="B13" s="4">
        <v>2</v>
      </c>
      <c r="C13" s="32" t="s">
        <v>68</v>
      </c>
      <c r="D13" s="32"/>
      <c r="E13" s="32"/>
      <c r="F13" s="5">
        <v>1</v>
      </c>
      <c r="G13" s="13">
        <v>1</v>
      </c>
      <c r="H13" s="4" t="s">
        <v>26</v>
      </c>
      <c r="I13" s="14">
        <f>34000*25%</f>
        <v>8500</v>
      </c>
      <c r="J13" s="6">
        <f>F13*I13*G13</f>
        <v>8500</v>
      </c>
    </row>
    <row r="14" spans="2:10" ht="48.5" customHeight="1" x14ac:dyDescent="0.3">
      <c r="B14" s="4">
        <v>3</v>
      </c>
      <c r="C14" s="32" t="s">
        <v>69</v>
      </c>
      <c r="D14" s="32"/>
      <c r="E14" s="32"/>
      <c r="F14" s="5">
        <v>1</v>
      </c>
      <c r="G14" s="13">
        <v>1</v>
      </c>
      <c r="H14" s="4" t="s">
        <v>26</v>
      </c>
      <c r="I14" s="14">
        <f>34000*10%</f>
        <v>3400</v>
      </c>
      <c r="J14" s="6">
        <f>F14*I14*G14</f>
        <v>3400</v>
      </c>
    </row>
    <row r="15" spans="2:10" ht="17.399999999999999" customHeight="1" x14ac:dyDescent="0.35">
      <c r="B15" s="18"/>
      <c r="C15" s="27" t="s">
        <v>18</v>
      </c>
      <c r="D15" s="27"/>
      <c r="E15" s="27"/>
      <c r="F15" s="27"/>
      <c r="G15" s="27"/>
      <c r="H15" s="27"/>
      <c r="I15" s="27"/>
      <c r="J15" s="7">
        <f>SUM(J12:J14)</f>
        <v>18700</v>
      </c>
    </row>
    <row r="16" spans="2:10" ht="17.399999999999999" customHeight="1" x14ac:dyDescent="0.35">
      <c r="B16" s="18"/>
      <c r="C16" s="25" t="s">
        <v>24</v>
      </c>
      <c r="D16" s="25"/>
      <c r="E16" s="25"/>
      <c r="F16" s="25"/>
      <c r="G16" s="25"/>
      <c r="H16" s="25"/>
      <c r="I16" s="25"/>
      <c r="J16" s="7">
        <v>0</v>
      </c>
    </row>
    <row r="17" spans="2:12" ht="17.399999999999999" customHeight="1" x14ac:dyDescent="0.35">
      <c r="B17" s="18"/>
      <c r="C17" s="25"/>
      <c r="D17" s="25"/>
      <c r="E17" s="25"/>
      <c r="F17" s="25"/>
      <c r="G17" s="25"/>
      <c r="H17" s="25"/>
      <c r="I17" s="25"/>
      <c r="J17" s="7"/>
    </row>
    <row r="18" spans="2:12" ht="17.399999999999999" customHeight="1" x14ac:dyDescent="0.35">
      <c r="B18" s="18"/>
      <c r="C18" s="16"/>
      <c r="D18" s="16"/>
      <c r="E18" s="16"/>
      <c r="F18" s="16"/>
      <c r="G18" s="16"/>
      <c r="H18" s="16"/>
      <c r="I18" s="16"/>
      <c r="J18" s="7">
        <f>J15+J16+J17</f>
        <v>18700</v>
      </c>
    </row>
    <row r="19" spans="2:12" ht="15.5" x14ac:dyDescent="0.35">
      <c r="B19" s="8"/>
      <c r="C19" s="26" t="s">
        <v>70</v>
      </c>
      <c r="D19" s="26"/>
      <c r="E19" s="26"/>
      <c r="F19" s="26"/>
      <c r="G19" s="26"/>
      <c r="H19" s="26"/>
      <c r="I19" s="26"/>
      <c r="J19" s="26"/>
    </row>
    <row r="20" spans="2:12" ht="15.5" x14ac:dyDescent="0.35">
      <c r="B20" s="18"/>
      <c r="C20" s="22" t="s">
        <v>12</v>
      </c>
      <c r="D20" s="22"/>
      <c r="E20" s="22"/>
      <c r="F20" s="8"/>
      <c r="G20" s="8"/>
      <c r="H20" s="8"/>
      <c r="I20" s="8"/>
      <c r="J20" s="9">
        <v>0</v>
      </c>
    </row>
    <row r="21" spans="2:12" ht="15.5" x14ac:dyDescent="0.35">
      <c r="B21" s="18"/>
      <c r="C21" s="22" t="s">
        <v>20</v>
      </c>
      <c r="D21" s="22"/>
      <c r="E21" s="22"/>
      <c r="F21" s="8"/>
      <c r="G21" s="8"/>
      <c r="H21" s="8"/>
      <c r="I21" s="8"/>
      <c r="J21" s="9">
        <v>0</v>
      </c>
    </row>
    <row r="22" spans="2:12" ht="15.5" x14ac:dyDescent="0.35">
      <c r="B22" s="18"/>
      <c r="C22" s="22" t="s">
        <v>13</v>
      </c>
      <c r="D22" s="22"/>
      <c r="E22" s="22"/>
      <c r="F22" s="8"/>
      <c r="G22" s="8" t="s">
        <v>19</v>
      </c>
      <c r="H22" s="8"/>
      <c r="I22" s="8"/>
      <c r="J22" s="12">
        <f>J18</f>
        <v>18700</v>
      </c>
    </row>
    <row r="23" spans="2:12" ht="15.5" x14ac:dyDescent="0.35">
      <c r="B23" s="8"/>
      <c r="C23" s="22"/>
      <c r="D23" s="22"/>
      <c r="E23" s="22"/>
      <c r="F23" s="8"/>
      <c r="G23" s="8"/>
      <c r="H23" s="8"/>
      <c r="I23" s="8"/>
      <c r="J23" s="8"/>
      <c r="L23" s="11"/>
    </row>
    <row r="24" spans="2:12" x14ac:dyDescent="0.3">
      <c r="B24" s="23" t="s">
        <v>14</v>
      </c>
      <c r="C24" s="23"/>
      <c r="D24" s="23"/>
      <c r="E24" s="23"/>
      <c r="F24" s="23"/>
      <c r="G24" s="23"/>
      <c r="H24" s="23"/>
      <c r="I24" s="23"/>
      <c r="J24" s="23"/>
    </row>
    <row r="25" spans="2:12" x14ac:dyDescent="0.3">
      <c r="B25" s="23"/>
      <c r="C25" s="23"/>
      <c r="D25" s="23"/>
      <c r="E25" s="23"/>
      <c r="F25" s="23"/>
      <c r="G25" s="23"/>
      <c r="H25" s="23"/>
      <c r="I25" s="23"/>
      <c r="J25" s="23"/>
    </row>
    <row r="26" spans="2:12" x14ac:dyDescent="0.3">
      <c r="B26" s="23"/>
      <c r="C26" s="23"/>
      <c r="D26" s="23"/>
      <c r="E26" s="23"/>
      <c r="F26" s="23"/>
      <c r="G26" s="23"/>
      <c r="H26" s="23"/>
      <c r="I26" s="23"/>
      <c r="J26" s="23"/>
    </row>
    <row r="29" spans="2:12" ht="14.15" customHeight="1" x14ac:dyDescent="0.3">
      <c r="B29" s="24" t="s">
        <v>15</v>
      </c>
      <c r="C29" s="24"/>
      <c r="D29" s="24"/>
      <c r="E29" s="24"/>
      <c r="F29" s="24"/>
      <c r="G29" s="24"/>
      <c r="H29" s="24"/>
      <c r="I29" s="24"/>
      <c r="J29" s="24"/>
    </row>
    <row r="30" spans="2:12" ht="14.15" customHeight="1" x14ac:dyDescent="0.3">
      <c r="B30" s="24"/>
      <c r="C30" s="24"/>
      <c r="D30" s="24"/>
      <c r="E30" s="24"/>
      <c r="F30" s="24"/>
      <c r="G30" s="24"/>
      <c r="H30" s="24"/>
      <c r="I30" s="24"/>
      <c r="J30" s="24"/>
    </row>
    <row r="31" spans="2:12" x14ac:dyDescent="0.3">
      <c r="B31" s="24"/>
      <c r="C31" s="24"/>
      <c r="D31" s="24"/>
      <c r="E31" s="24"/>
      <c r="F31" s="24"/>
      <c r="G31" s="24"/>
      <c r="H31" s="24"/>
      <c r="I31" s="24"/>
      <c r="J31" s="24"/>
    </row>
    <row r="32" spans="2:12" x14ac:dyDescent="0.3">
      <c r="B32" s="24"/>
      <c r="C32" s="24"/>
      <c r="D32" s="24"/>
      <c r="E32" s="24"/>
      <c r="F32" s="24"/>
      <c r="G32" s="24"/>
      <c r="H32" s="24"/>
      <c r="I32" s="24"/>
      <c r="J32" s="24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4:E14"/>
    <mergeCell ref="C13:E13"/>
    <mergeCell ref="B9:J9"/>
    <mergeCell ref="C10:E10"/>
    <mergeCell ref="C11:J11"/>
    <mergeCell ref="C12:E12"/>
    <mergeCell ref="B31:J32"/>
    <mergeCell ref="C15:I15"/>
    <mergeCell ref="C16:I16"/>
    <mergeCell ref="C17:I17"/>
    <mergeCell ref="C19:J19"/>
    <mergeCell ref="C20:E20"/>
    <mergeCell ref="C21:E21"/>
    <mergeCell ref="C22:E22"/>
    <mergeCell ref="C23:E23"/>
    <mergeCell ref="B24:J26"/>
    <mergeCell ref="B29:J30"/>
  </mergeCells>
  <pageMargins left="0.7" right="0.7" top="0.75" bottom="0.75" header="0.3" footer="0.3"/>
  <pageSetup paperSize="9" scale="6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0264-1280-4EA4-B7D1-3FBA0DD4A890}">
  <sheetPr>
    <pageSetUpPr fitToPage="1"/>
  </sheetPr>
  <dimension ref="B2:L39"/>
  <sheetViews>
    <sheetView topLeftCell="A10" zoomScaleNormal="100" workbookViewId="0">
      <selection activeCell="G15" sqref="G15:G1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254</v>
      </c>
    </row>
    <row r="5" spans="2:10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45659</v>
      </c>
      <c r="J6" s="30"/>
    </row>
    <row r="7" spans="2:10" ht="20.149999999999999" customHeight="1" x14ac:dyDescent="0.3">
      <c r="B7" s="31" t="s">
        <v>3</v>
      </c>
      <c r="C7" s="31"/>
      <c r="D7" s="32" t="s">
        <v>81</v>
      </c>
      <c r="E7" s="32"/>
      <c r="F7" s="32"/>
      <c r="G7" s="32"/>
      <c r="H7" s="3" t="s">
        <v>17</v>
      </c>
      <c r="I7" s="29">
        <v>45655</v>
      </c>
      <c r="J7" s="30"/>
    </row>
    <row r="8" spans="2:10" ht="18.899999999999999" customHeight="1" x14ac:dyDescent="0.3">
      <c r="B8" s="24" t="s">
        <v>5</v>
      </c>
      <c r="C8" s="24"/>
      <c r="D8" s="23" t="s">
        <v>81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15" x14ac:dyDescent="0.3">
      <c r="B11" s="2"/>
      <c r="C11" s="24" t="s">
        <v>71</v>
      </c>
      <c r="D11" s="24"/>
      <c r="E11" s="24"/>
      <c r="F11" s="24"/>
      <c r="G11" s="24"/>
      <c r="H11" s="24"/>
      <c r="I11" s="24"/>
      <c r="J11" s="24"/>
    </row>
    <row r="12" spans="2:10" ht="15.5" x14ac:dyDescent="0.3">
      <c r="B12" s="4">
        <v>1</v>
      </c>
      <c r="C12" s="32" t="s">
        <v>72</v>
      </c>
      <c r="D12" s="32"/>
      <c r="E12" s="32"/>
      <c r="F12" s="5">
        <v>1</v>
      </c>
      <c r="G12" s="13">
        <v>500</v>
      </c>
      <c r="H12" s="4" t="s">
        <v>35</v>
      </c>
      <c r="I12" s="14">
        <v>150</v>
      </c>
      <c r="J12" s="6">
        <f t="shared" ref="J12:J19" si="0">F12*I12*G12</f>
        <v>75000</v>
      </c>
    </row>
    <row r="13" spans="2:10" ht="15.5" x14ac:dyDescent="0.3">
      <c r="B13" s="4">
        <v>2</v>
      </c>
      <c r="C13" s="32" t="s">
        <v>73</v>
      </c>
      <c r="D13" s="32"/>
      <c r="E13" s="32"/>
      <c r="F13" s="5">
        <v>1</v>
      </c>
      <c r="G13" s="13">
        <v>480</v>
      </c>
      <c r="H13" s="4" t="s">
        <v>35</v>
      </c>
      <c r="I13" s="14">
        <v>110</v>
      </c>
      <c r="J13" s="6">
        <f t="shared" si="0"/>
        <v>52800</v>
      </c>
    </row>
    <row r="14" spans="2:10" ht="15.5" x14ac:dyDescent="0.3">
      <c r="B14" s="4">
        <v>3</v>
      </c>
      <c r="C14" s="32" t="s">
        <v>74</v>
      </c>
      <c r="D14" s="32"/>
      <c r="E14" s="32"/>
      <c r="F14" s="5">
        <v>1</v>
      </c>
      <c r="G14" s="13">
        <v>60</v>
      </c>
      <c r="H14" s="4" t="s">
        <v>35</v>
      </c>
      <c r="I14" s="14">
        <v>90</v>
      </c>
      <c r="J14" s="6">
        <f t="shared" si="0"/>
        <v>5400</v>
      </c>
    </row>
    <row r="15" spans="2:10" ht="15.5" x14ac:dyDescent="0.3">
      <c r="B15" s="4">
        <v>4</v>
      </c>
      <c r="C15" s="32" t="s">
        <v>75</v>
      </c>
      <c r="D15" s="32"/>
      <c r="E15" s="32"/>
      <c r="F15" s="5">
        <v>1</v>
      </c>
      <c r="G15" s="13">
        <v>28</v>
      </c>
      <c r="H15" s="4" t="s">
        <v>39</v>
      </c>
      <c r="I15" s="14">
        <v>3000</v>
      </c>
      <c r="J15" s="6">
        <f t="shared" si="0"/>
        <v>84000</v>
      </c>
    </row>
    <row r="16" spans="2:10" ht="15.5" x14ac:dyDescent="0.3">
      <c r="B16" s="4">
        <v>5</v>
      </c>
      <c r="C16" s="32" t="s">
        <v>76</v>
      </c>
      <c r="D16" s="32"/>
      <c r="E16" s="32"/>
      <c r="F16" s="5">
        <v>1</v>
      </c>
      <c r="G16" s="13">
        <v>13</v>
      </c>
      <c r="H16" s="4" t="s">
        <v>39</v>
      </c>
      <c r="I16" s="14">
        <v>1800</v>
      </c>
      <c r="J16" s="6">
        <f t="shared" si="0"/>
        <v>23400</v>
      </c>
    </row>
    <row r="17" spans="2:12" ht="15.5" x14ac:dyDescent="0.3">
      <c r="B17" s="4">
        <v>6</v>
      </c>
      <c r="C17" s="32" t="s">
        <v>77</v>
      </c>
      <c r="D17" s="32"/>
      <c r="E17" s="32"/>
      <c r="F17" s="5">
        <v>1</v>
      </c>
      <c r="G17" s="13">
        <v>6</v>
      </c>
      <c r="H17" s="4" t="s">
        <v>39</v>
      </c>
      <c r="I17" s="14">
        <v>2200</v>
      </c>
      <c r="J17" s="6">
        <f t="shared" si="0"/>
        <v>13200</v>
      </c>
    </row>
    <row r="18" spans="2:12" ht="15.5" x14ac:dyDescent="0.3">
      <c r="B18" s="4">
        <v>7</v>
      </c>
      <c r="C18" s="32" t="s">
        <v>78</v>
      </c>
      <c r="D18" s="32"/>
      <c r="E18" s="32"/>
      <c r="F18" s="5">
        <v>1</v>
      </c>
      <c r="G18" s="13">
        <v>14</v>
      </c>
      <c r="H18" s="4" t="s">
        <v>39</v>
      </c>
      <c r="I18" s="14">
        <v>4000</v>
      </c>
      <c r="J18" s="6">
        <f t="shared" si="0"/>
        <v>56000</v>
      </c>
    </row>
    <row r="19" spans="2:12" ht="15.5" x14ac:dyDescent="0.3">
      <c r="B19" s="4">
        <v>8</v>
      </c>
      <c r="C19" s="32" t="s">
        <v>79</v>
      </c>
      <c r="D19" s="32"/>
      <c r="E19" s="32"/>
      <c r="F19" s="5">
        <v>1</v>
      </c>
      <c r="G19" s="13">
        <v>2</v>
      </c>
      <c r="H19" s="4" t="s">
        <v>39</v>
      </c>
      <c r="I19" s="14">
        <v>15000</v>
      </c>
      <c r="J19" s="6">
        <f t="shared" si="0"/>
        <v>30000</v>
      </c>
    </row>
    <row r="20" spans="2:12" ht="17.399999999999999" customHeight="1" x14ac:dyDescent="0.35">
      <c r="B20" s="18"/>
      <c r="C20" s="27" t="s">
        <v>18</v>
      </c>
      <c r="D20" s="27"/>
      <c r="E20" s="27"/>
      <c r="F20" s="27"/>
      <c r="G20" s="27"/>
      <c r="H20" s="27"/>
      <c r="I20" s="27"/>
      <c r="J20" s="7">
        <f>SUM(J12:J19)</f>
        <v>339800</v>
      </c>
    </row>
    <row r="21" spans="2:12" ht="17.399999999999999" customHeight="1" x14ac:dyDescent="0.35">
      <c r="B21" s="18"/>
      <c r="C21" s="25" t="s">
        <v>24</v>
      </c>
      <c r="D21" s="25"/>
      <c r="E21" s="25"/>
      <c r="F21" s="25"/>
      <c r="G21" s="25"/>
      <c r="H21" s="25"/>
      <c r="I21" s="25"/>
      <c r="J21" s="7">
        <v>0</v>
      </c>
    </row>
    <row r="22" spans="2:12" ht="17.399999999999999" customHeight="1" x14ac:dyDescent="0.35">
      <c r="B22" s="18"/>
      <c r="C22" s="25"/>
      <c r="D22" s="25"/>
      <c r="E22" s="25"/>
      <c r="F22" s="25"/>
      <c r="G22" s="25"/>
      <c r="H22" s="25"/>
      <c r="I22" s="25"/>
      <c r="J22" s="7"/>
    </row>
    <row r="23" spans="2:12" ht="17.399999999999999" customHeight="1" x14ac:dyDescent="0.35">
      <c r="B23" s="18"/>
      <c r="C23" s="16"/>
      <c r="D23" s="16"/>
      <c r="E23" s="16"/>
      <c r="F23" s="16"/>
      <c r="G23" s="16"/>
      <c r="H23" s="16"/>
      <c r="I23" s="16"/>
      <c r="J23" s="7">
        <f>J20+J21+J22</f>
        <v>339800</v>
      </c>
    </row>
    <row r="24" spans="2:12" ht="15.5" x14ac:dyDescent="0.35">
      <c r="B24" s="8"/>
      <c r="C24" s="26" t="s">
        <v>80</v>
      </c>
      <c r="D24" s="26"/>
      <c r="E24" s="26"/>
      <c r="F24" s="26"/>
      <c r="G24" s="26"/>
      <c r="H24" s="26"/>
      <c r="I24" s="26"/>
      <c r="J24" s="26"/>
    </row>
    <row r="25" spans="2:12" ht="15.5" x14ac:dyDescent="0.35">
      <c r="B25" s="18"/>
      <c r="C25" s="22" t="s">
        <v>12</v>
      </c>
      <c r="D25" s="22"/>
      <c r="E25" s="22"/>
      <c r="F25" s="8"/>
      <c r="G25" s="8"/>
      <c r="H25" s="8"/>
      <c r="I25" s="8"/>
      <c r="J25" s="9">
        <v>0</v>
      </c>
    </row>
    <row r="26" spans="2:12" ht="15.5" x14ac:dyDescent="0.35">
      <c r="B26" s="18"/>
      <c r="C26" s="22" t="s">
        <v>20</v>
      </c>
      <c r="D26" s="22"/>
      <c r="E26" s="22"/>
      <c r="F26" s="8"/>
      <c r="G26" s="8"/>
      <c r="H26" s="8"/>
      <c r="I26" s="8"/>
      <c r="J26" s="9">
        <v>0</v>
      </c>
    </row>
    <row r="27" spans="2:12" ht="15.5" x14ac:dyDescent="0.35">
      <c r="B27" s="18"/>
      <c r="C27" s="22" t="s">
        <v>13</v>
      </c>
      <c r="D27" s="22"/>
      <c r="E27" s="22"/>
      <c r="F27" s="8"/>
      <c r="G27" s="8" t="s">
        <v>19</v>
      </c>
      <c r="H27" s="8"/>
      <c r="I27" s="8"/>
      <c r="J27" s="12">
        <f>J23</f>
        <v>339800</v>
      </c>
    </row>
    <row r="28" spans="2:12" ht="15.5" x14ac:dyDescent="0.35">
      <c r="B28" s="8"/>
      <c r="C28" s="22"/>
      <c r="D28" s="22"/>
      <c r="E28" s="22"/>
      <c r="F28" s="8"/>
      <c r="G28" s="8"/>
      <c r="H28" s="8"/>
      <c r="I28" s="8"/>
      <c r="J28" s="8"/>
      <c r="L28" s="11"/>
    </row>
    <row r="29" spans="2:12" x14ac:dyDescent="0.3">
      <c r="B29" s="23" t="s">
        <v>14</v>
      </c>
      <c r="C29" s="23"/>
      <c r="D29" s="23"/>
      <c r="E29" s="23"/>
      <c r="F29" s="23"/>
      <c r="G29" s="23"/>
      <c r="H29" s="23"/>
      <c r="I29" s="23"/>
      <c r="J29" s="23"/>
    </row>
    <row r="30" spans="2:12" x14ac:dyDescent="0.3">
      <c r="B30" s="23"/>
      <c r="C30" s="23"/>
      <c r="D30" s="23"/>
      <c r="E30" s="23"/>
      <c r="F30" s="23"/>
      <c r="G30" s="23"/>
      <c r="H30" s="23"/>
      <c r="I30" s="23"/>
      <c r="J30" s="23"/>
    </row>
    <row r="31" spans="2:12" x14ac:dyDescent="0.3">
      <c r="B31" s="23"/>
      <c r="C31" s="23"/>
      <c r="D31" s="23"/>
      <c r="E31" s="23"/>
      <c r="F31" s="23"/>
      <c r="G31" s="23"/>
      <c r="H31" s="23"/>
      <c r="I31" s="23"/>
      <c r="J31" s="23"/>
    </row>
    <row r="34" spans="2:10" ht="14.15" customHeight="1" x14ac:dyDescent="0.3">
      <c r="B34" s="24" t="s">
        <v>15</v>
      </c>
      <c r="C34" s="24"/>
      <c r="D34" s="24"/>
      <c r="E34" s="24"/>
      <c r="F34" s="24"/>
      <c r="G34" s="24"/>
      <c r="H34" s="24"/>
      <c r="I34" s="24"/>
      <c r="J34" s="24"/>
    </row>
    <row r="35" spans="2:10" ht="14.15" customHeight="1" x14ac:dyDescent="0.3">
      <c r="B35" s="24"/>
      <c r="C35" s="24"/>
      <c r="D35" s="24"/>
      <c r="E35" s="24"/>
      <c r="F35" s="24"/>
      <c r="G35" s="24"/>
      <c r="H35" s="24"/>
      <c r="I35" s="24"/>
      <c r="J35" s="24"/>
    </row>
    <row r="36" spans="2:10" x14ac:dyDescent="0.3">
      <c r="B36" s="24"/>
      <c r="C36" s="24"/>
      <c r="D36" s="24"/>
      <c r="E36" s="24"/>
      <c r="F36" s="24"/>
      <c r="G36" s="24"/>
      <c r="H36" s="24"/>
      <c r="I36" s="24"/>
      <c r="J36" s="24"/>
    </row>
    <row r="37" spans="2:10" x14ac:dyDescent="0.3">
      <c r="B37" s="24"/>
      <c r="C37" s="24"/>
      <c r="D37" s="24"/>
      <c r="E37" s="24"/>
      <c r="F37" s="24"/>
      <c r="G37" s="24"/>
      <c r="H37" s="24"/>
      <c r="I37" s="24"/>
      <c r="J37" s="24"/>
    </row>
    <row r="38" spans="2:10" ht="15.5" x14ac:dyDescent="0.35">
      <c r="B38" s="8"/>
      <c r="C38" s="8"/>
      <c r="D38" s="8"/>
      <c r="E38" s="8"/>
      <c r="F38" s="8"/>
      <c r="G38" s="8"/>
      <c r="H38" s="8"/>
      <c r="I38" s="8"/>
      <c r="J38" s="8"/>
    </row>
    <row r="39" spans="2:10" ht="15.5" x14ac:dyDescent="0.35">
      <c r="B39" s="8"/>
      <c r="C39" s="8"/>
      <c r="D39" s="8"/>
      <c r="E39" s="8"/>
      <c r="F39" s="8"/>
      <c r="G39" s="8"/>
      <c r="H39" s="8"/>
      <c r="I39" s="8"/>
      <c r="J39" s="8"/>
    </row>
  </sheetData>
  <mergeCells count="35">
    <mergeCell ref="B36:J37"/>
    <mergeCell ref="C24:J24"/>
    <mergeCell ref="C27:E27"/>
    <mergeCell ref="C28:E28"/>
    <mergeCell ref="B29:J31"/>
    <mergeCell ref="B34:J35"/>
    <mergeCell ref="C25:E25"/>
    <mergeCell ref="C26:E26"/>
    <mergeCell ref="C20:I20"/>
    <mergeCell ref="C21:I21"/>
    <mergeCell ref="C22:I22"/>
    <mergeCell ref="B8:C8"/>
    <mergeCell ref="D8:J8"/>
    <mergeCell ref="C19:E19"/>
    <mergeCell ref="C17:E17"/>
    <mergeCell ref="C14:E14"/>
    <mergeCell ref="C15:E15"/>
    <mergeCell ref="C16:E16"/>
    <mergeCell ref="C18:E18"/>
    <mergeCell ref="B9:J9"/>
    <mergeCell ref="C10:E10"/>
    <mergeCell ref="C11:J11"/>
    <mergeCell ref="C12:E12"/>
    <mergeCell ref="C13:E13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6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F14F-47C3-4869-BE95-DA857B4EC119}">
  <sheetPr>
    <pageSetUpPr fitToPage="1"/>
  </sheetPr>
  <dimension ref="B2:L33"/>
  <sheetViews>
    <sheetView topLeftCell="A7" zoomScaleNormal="100" workbookViewId="0">
      <selection activeCell="I12" sqref="I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256</v>
      </c>
    </row>
    <row r="5" spans="2:10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45659</v>
      </c>
      <c r="J6" s="30"/>
    </row>
    <row r="7" spans="2:10" ht="20.149999999999999" customHeight="1" x14ac:dyDescent="0.3">
      <c r="B7" s="31" t="s">
        <v>3</v>
      </c>
      <c r="C7" s="31"/>
      <c r="D7" s="32" t="s">
        <v>82</v>
      </c>
      <c r="E7" s="32"/>
      <c r="F7" s="32"/>
      <c r="G7" s="32"/>
      <c r="H7" s="3" t="s">
        <v>17</v>
      </c>
      <c r="I7" s="29">
        <v>45655</v>
      </c>
      <c r="J7" s="30"/>
    </row>
    <row r="8" spans="2:10" ht="18.899999999999999" customHeight="1" x14ac:dyDescent="0.3">
      <c r="B8" s="24" t="s">
        <v>5</v>
      </c>
      <c r="C8" s="24"/>
      <c r="D8" s="23" t="s">
        <v>82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0" ht="15" x14ac:dyDescent="0.3">
      <c r="B11" s="2"/>
      <c r="C11" s="24" t="s">
        <v>83</v>
      </c>
      <c r="D11" s="24"/>
      <c r="E11" s="24"/>
      <c r="F11" s="24"/>
      <c r="G11" s="24"/>
      <c r="H11" s="24"/>
      <c r="I11" s="24"/>
      <c r="J11" s="24"/>
    </row>
    <row r="12" spans="2:10" ht="15.5" x14ac:dyDescent="0.3">
      <c r="B12" s="4">
        <v>1</v>
      </c>
      <c r="C12" s="32" t="s">
        <v>84</v>
      </c>
      <c r="D12" s="32"/>
      <c r="E12" s="32"/>
      <c r="F12" s="5">
        <v>1</v>
      </c>
      <c r="G12" s="13">
        <v>21</v>
      </c>
      <c r="H12" s="4" t="s">
        <v>26</v>
      </c>
      <c r="I12" s="14">
        <v>2550</v>
      </c>
      <c r="J12" s="6">
        <f>F12*I12*G12</f>
        <v>53550</v>
      </c>
    </row>
    <row r="13" spans="2:10" ht="15.5" x14ac:dyDescent="0.3">
      <c r="B13" s="4">
        <v>2</v>
      </c>
      <c r="C13" s="32" t="s">
        <v>85</v>
      </c>
      <c r="D13" s="32"/>
      <c r="E13" s="32"/>
      <c r="F13" s="5">
        <v>1</v>
      </c>
      <c r="G13" s="13">
        <v>21</v>
      </c>
      <c r="H13" s="4" t="s">
        <v>26</v>
      </c>
      <c r="I13" s="14">
        <v>2550</v>
      </c>
      <c r="J13" s="6">
        <f>F13*I13*G13</f>
        <v>53550</v>
      </c>
    </row>
    <row r="14" spans="2:10" ht="17.399999999999999" customHeight="1" x14ac:dyDescent="0.35">
      <c r="B14" s="18"/>
      <c r="C14" s="27" t="s">
        <v>18</v>
      </c>
      <c r="D14" s="27"/>
      <c r="E14" s="27"/>
      <c r="F14" s="27"/>
      <c r="G14" s="27"/>
      <c r="H14" s="27"/>
      <c r="I14" s="27"/>
      <c r="J14" s="7">
        <f>SUM(J12:J13)</f>
        <v>107100</v>
      </c>
    </row>
    <row r="15" spans="2:10" ht="17.399999999999999" customHeight="1" x14ac:dyDescent="0.35">
      <c r="B15" s="18"/>
      <c r="C15" s="25" t="s">
        <v>24</v>
      </c>
      <c r="D15" s="25"/>
      <c r="E15" s="25"/>
      <c r="F15" s="25"/>
      <c r="G15" s="25"/>
      <c r="H15" s="25"/>
      <c r="I15" s="25"/>
      <c r="J15" s="7">
        <v>0</v>
      </c>
    </row>
    <row r="16" spans="2:10" ht="17.399999999999999" customHeight="1" x14ac:dyDescent="0.35">
      <c r="B16" s="18"/>
      <c r="C16" s="25"/>
      <c r="D16" s="25"/>
      <c r="E16" s="25"/>
      <c r="F16" s="25"/>
      <c r="G16" s="25"/>
      <c r="H16" s="25"/>
      <c r="I16" s="25"/>
      <c r="J16" s="7"/>
    </row>
    <row r="17" spans="2:12" ht="17.399999999999999" customHeight="1" x14ac:dyDescent="0.35">
      <c r="B17" s="18"/>
      <c r="C17" s="16"/>
      <c r="D17" s="16"/>
      <c r="E17" s="16"/>
      <c r="F17" s="16"/>
      <c r="G17" s="16"/>
      <c r="H17" s="16"/>
      <c r="I17" s="16"/>
      <c r="J17" s="7">
        <f>J14+J15+J16</f>
        <v>107100</v>
      </c>
    </row>
    <row r="18" spans="2:12" ht="15.5" x14ac:dyDescent="0.35">
      <c r="B18" s="8"/>
      <c r="C18" s="26" t="s">
        <v>86</v>
      </c>
      <c r="D18" s="26"/>
      <c r="E18" s="26"/>
      <c r="F18" s="26"/>
      <c r="G18" s="26"/>
      <c r="H18" s="26"/>
      <c r="I18" s="26"/>
      <c r="J18" s="26"/>
    </row>
    <row r="19" spans="2:12" ht="15.5" x14ac:dyDescent="0.35">
      <c r="B19" s="18"/>
      <c r="C19" s="22" t="s">
        <v>12</v>
      </c>
      <c r="D19" s="22"/>
      <c r="E19" s="22"/>
      <c r="F19" s="8"/>
      <c r="G19" s="8"/>
      <c r="H19" s="8"/>
      <c r="I19" s="8"/>
      <c r="J19" s="9">
        <v>0</v>
      </c>
    </row>
    <row r="20" spans="2:12" ht="15.5" x14ac:dyDescent="0.35">
      <c r="B20" s="18"/>
      <c r="C20" s="22" t="s">
        <v>20</v>
      </c>
      <c r="D20" s="22"/>
      <c r="E20" s="22"/>
      <c r="F20" s="8"/>
      <c r="G20" s="8"/>
      <c r="H20" s="8"/>
      <c r="I20" s="8"/>
      <c r="J20" s="9">
        <v>0</v>
      </c>
    </row>
    <row r="21" spans="2:12" ht="15.5" x14ac:dyDescent="0.35">
      <c r="B21" s="18"/>
      <c r="C21" s="22" t="s">
        <v>13</v>
      </c>
      <c r="D21" s="22"/>
      <c r="E21" s="22"/>
      <c r="F21" s="8"/>
      <c r="G21" s="8" t="s">
        <v>19</v>
      </c>
      <c r="H21" s="8"/>
      <c r="I21" s="8"/>
      <c r="J21" s="12">
        <f>J17</f>
        <v>107100</v>
      </c>
    </row>
    <row r="22" spans="2:12" ht="15.5" x14ac:dyDescent="0.35">
      <c r="B22" s="8"/>
      <c r="C22" s="22"/>
      <c r="D22" s="22"/>
      <c r="E22" s="22"/>
      <c r="F22" s="8"/>
      <c r="G22" s="8"/>
      <c r="H22" s="8"/>
      <c r="I22" s="8"/>
      <c r="J22" s="8"/>
      <c r="L22" s="11"/>
    </row>
    <row r="23" spans="2:12" x14ac:dyDescent="0.3">
      <c r="B23" s="23" t="s">
        <v>14</v>
      </c>
      <c r="C23" s="23"/>
      <c r="D23" s="23"/>
      <c r="E23" s="23"/>
      <c r="F23" s="23"/>
      <c r="G23" s="23"/>
      <c r="H23" s="23"/>
      <c r="I23" s="23"/>
      <c r="J23" s="23"/>
    </row>
    <row r="24" spans="2:12" x14ac:dyDescent="0.3">
      <c r="B24" s="23"/>
      <c r="C24" s="23"/>
      <c r="D24" s="23"/>
      <c r="E24" s="23"/>
      <c r="F24" s="23"/>
      <c r="G24" s="23"/>
      <c r="H24" s="23"/>
      <c r="I24" s="23"/>
      <c r="J24" s="23"/>
    </row>
    <row r="25" spans="2:12" x14ac:dyDescent="0.3">
      <c r="B25" s="23"/>
      <c r="C25" s="23"/>
      <c r="D25" s="23"/>
      <c r="E25" s="23"/>
      <c r="F25" s="23"/>
      <c r="G25" s="23"/>
      <c r="H25" s="23"/>
      <c r="I25" s="23"/>
      <c r="J25" s="23"/>
    </row>
    <row r="28" spans="2:12" ht="14.15" customHeight="1" x14ac:dyDescent="0.3">
      <c r="B28" s="24" t="s">
        <v>15</v>
      </c>
      <c r="C28" s="24"/>
      <c r="D28" s="24"/>
      <c r="E28" s="24"/>
      <c r="F28" s="24"/>
      <c r="G28" s="24"/>
      <c r="H28" s="24"/>
      <c r="I28" s="24"/>
      <c r="J28" s="24"/>
    </row>
    <row r="29" spans="2:12" ht="14.15" customHeight="1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2" x14ac:dyDescent="0.3">
      <c r="B30" s="24"/>
      <c r="C30" s="24"/>
      <c r="D30" s="24"/>
      <c r="E30" s="24"/>
      <c r="F30" s="24"/>
      <c r="G30" s="24"/>
      <c r="H30" s="24"/>
      <c r="I30" s="24"/>
      <c r="J30" s="24"/>
    </row>
    <row r="31" spans="2:12" x14ac:dyDescent="0.3">
      <c r="B31" s="24"/>
      <c r="C31" s="24"/>
      <c r="D31" s="24"/>
      <c r="E31" s="24"/>
      <c r="F31" s="24"/>
      <c r="G31" s="24"/>
      <c r="H31" s="24"/>
      <c r="I31" s="24"/>
      <c r="J31" s="24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C22:E22"/>
    <mergeCell ref="B23:J25"/>
    <mergeCell ref="B28:J29"/>
    <mergeCell ref="B30:J31"/>
    <mergeCell ref="C15:I15"/>
    <mergeCell ref="C16:I16"/>
    <mergeCell ref="C18:J18"/>
    <mergeCell ref="C19:E19"/>
    <mergeCell ref="C20:E20"/>
    <mergeCell ref="C21:E21"/>
    <mergeCell ref="C14:I14"/>
    <mergeCell ref="B9:J9"/>
    <mergeCell ref="C10:E10"/>
    <mergeCell ref="C11:J11"/>
    <mergeCell ref="C12:E12"/>
    <mergeCell ref="C13:E13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6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4433-FA3F-449F-8248-AF685FA71A10}">
  <sheetPr>
    <pageSetUpPr fitToPage="1"/>
  </sheetPr>
  <dimension ref="B2:L38"/>
  <sheetViews>
    <sheetView topLeftCell="A7" zoomScaleNormal="100" workbookViewId="0">
      <selection activeCell="K31" sqref="K3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9" style="1" bestFit="1" customWidth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266</v>
      </c>
    </row>
    <row r="5" spans="2:10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45713</v>
      </c>
      <c r="J6" s="30"/>
    </row>
    <row r="7" spans="2:10" ht="20.149999999999999" customHeight="1" x14ac:dyDescent="0.3">
      <c r="B7" s="31" t="s">
        <v>3</v>
      </c>
      <c r="C7" s="31"/>
      <c r="D7" s="32" t="s">
        <v>87</v>
      </c>
      <c r="E7" s="32"/>
      <c r="F7" s="32"/>
      <c r="G7" s="32"/>
      <c r="H7" s="3" t="s">
        <v>17</v>
      </c>
      <c r="I7" s="29">
        <v>45712</v>
      </c>
      <c r="J7" s="30"/>
    </row>
    <row r="8" spans="2:10" ht="18.899999999999999" customHeight="1" x14ac:dyDescent="0.3">
      <c r="B8" s="24" t="s">
        <v>5</v>
      </c>
      <c r="C8" s="24"/>
      <c r="D8" s="23" t="s">
        <v>87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90</v>
      </c>
      <c r="J10" s="16" t="s">
        <v>10</v>
      </c>
    </row>
    <row r="11" spans="2:10" ht="15" x14ac:dyDescent="0.3">
      <c r="B11" s="2"/>
      <c r="C11" s="24" t="s">
        <v>88</v>
      </c>
      <c r="D11" s="24"/>
      <c r="E11" s="24"/>
      <c r="F11" s="24"/>
      <c r="G11" s="24"/>
      <c r="H11" s="24"/>
      <c r="I11" s="24"/>
      <c r="J11" s="24"/>
    </row>
    <row r="12" spans="2:10" ht="15.5" x14ac:dyDescent="0.3">
      <c r="B12" s="4">
        <v>1</v>
      </c>
      <c r="C12" s="32" t="s">
        <v>89</v>
      </c>
      <c r="D12" s="32"/>
      <c r="E12" s="32"/>
      <c r="F12" s="5">
        <v>1</v>
      </c>
      <c r="G12" s="13">
        <v>858</v>
      </c>
      <c r="H12" s="4" t="s">
        <v>35</v>
      </c>
      <c r="I12" s="14">
        <v>80</v>
      </c>
      <c r="J12" s="6">
        <f t="shared" ref="J12:J18" si="0">F12*I12*G12</f>
        <v>68640</v>
      </c>
    </row>
    <row r="13" spans="2:10" ht="15.5" x14ac:dyDescent="0.3">
      <c r="B13" s="4">
        <v>2</v>
      </c>
      <c r="C13" s="32" t="s">
        <v>91</v>
      </c>
      <c r="D13" s="32"/>
      <c r="E13" s="32"/>
      <c r="F13" s="5">
        <v>1</v>
      </c>
      <c r="G13" s="13">
        <v>774</v>
      </c>
      <c r="H13" s="4" t="s">
        <v>35</v>
      </c>
      <c r="I13" s="14">
        <v>90</v>
      </c>
      <c r="J13" s="6">
        <f t="shared" si="0"/>
        <v>69660</v>
      </c>
    </row>
    <row r="14" spans="2:10" ht="15.5" x14ac:dyDescent="0.3">
      <c r="B14" s="4">
        <v>3</v>
      </c>
      <c r="C14" s="32" t="s">
        <v>92</v>
      </c>
      <c r="D14" s="32"/>
      <c r="E14" s="32"/>
      <c r="F14" s="5">
        <v>1</v>
      </c>
      <c r="G14" s="13">
        <v>475</v>
      </c>
      <c r="H14" s="4" t="s">
        <v>35</v>
      </c>
      <c r="I14" s="14">
        <v>50</v>
      </c>
      <c r="J14" s="6">
        <f t="shared" si="0"/>
        <v>23750</v>
      </c>
    </row>
    <row r="15" spans="2:10" ht="15.5" x14ac:dyDescent="0.3">
      <c r="B15" s="4">
        <v>4</v>
      </c>
      <c r="C15" s="32" t="s">
        <v>93</v>
      </c>
      <c r="D15" s="32"/>
      <c r="E15" s="32"/>
      <c r="F15" s="5">
        <v>1</v>
      </c>
      <c r="G15" s="13">
        <v>1556</v>
      </c>
      <c r="H15" s="4" t="s">
        <v>35</v>
      </c>
      <c r="I15" s="14">
        <v>30</v>
      </c>
      <c r="J15" s="6">
        <f t="shared" si="0"/>
        <v>46680</v>
      </c>
    </row>
    <row r="16" spans="2:10" ht="15.5" x14ac:dyDescent="0.3">
      <c r="B16" s="4">
        <v>5</v>
      </c>
      <c r="C16" s="32" t="s">
        <v>94</v>
      </c>
      <c r="D16" s="32"/>
      <c r="E16" s="32"/>
      <c r="F16" s="5">
        <v>1</v>
      </c>
      <c r="G16" s="13">
        <v>40</v>
      </c>
      <c r="H16" s="4" t="s">
        <v>39</v>
      </c>
      <c r="I16" s="14">
        <v>350</v>
      </c>
      <c r="J16" s="6">
        <f t="shared" si="0"/>
        <v>14000</v>
      </c>
    </row>
    <row r="17" spans="2:12" ht="15.5" x14ac:dyDescent="0.3">
      <c r="B17" s="4">
        <v>6</v>
      </c>
      <c r="C17" s="32" t="s">
        <v>95</v>
      </c>
      <c r="D17" s="32"/>
      <c r="E17" s="32"/>
      <c r="F17" s="5">
        <v>1</v>
      </c>
      <c r="G17" s="13">
        <v>120</v>
      </c>
      <c r="H17" s="4" t="s">
        <v>39</v>
      </c>
      <c r="I17" s="14">
        <v>150</v>
      </c>
      <c r="J17" s="6">
        <f t="shared" si="0"/>
        <v>18000</v>
      </c>
    </row>
    <row r="18" spans="2:12" ht="15.5" x14ac:dyDescent="0.3">
      <c r="B18" s="4">
        <v>7</v>
      </c>
      <c r="C18" s="32" t="s">
        <v>96</v>
      </c>
      <c r="D18" s="32"/>
      <c r="E18" s="32"/>
      <c r="F18" s="5">
        <v>1</v>
      </c>
      <c r="G18" s="13">
        <v>120</v>
      </c>
      <c r="H18" s="4" t="s">
        <v>39</v>
      </c>
      <c r="I18" s="14">
        <v>150</v>
      </c>
      <c r="J18" s="6">
        <f t="shared" si="0"/>
        <v>18000</v>
      </c>
    </row>
    <row r="19" spans="2:12" ht="17.399999999999999" customHeight="1" x14ac:dyDescent="0.35">
      <c r="B19" s="18"/>
      <c r="C19" s="27" t="s">
        <v>18</v>
      </c>
      <c r="D19" s="27"/>
      <c r="E19" s="27"/>
      <c r="F19" s="27"/>
      <c r="G19" s="27"/>
      <c r="H19" s="27"/>
      <c r="I19" s="27"/>
      <c r="J19" s="7">
        <f>SUM(J12:J18)</f>
        <v>258730</v>
      </c>
    </row>
    <row r="20" spans="2:12" ht="17.399999999999999" customHeight="1" x14ac:dyDescent="0.35">
      <c r="B20" s="18"/>
      <c r="C20" s="25" t="s">
        <v>24</v>
      </c>
      <c r="D20" s="25"/>
      <c r="E20" s="25"/>
      <c r="F20" s="25"/>
      <c r="G20" s="25"/>
      <c r="H20" s="25"/>
      <c r="I20" s="25"/>
      <c r="J20" s="7">
        <v>0</v>
      </c>
    </row>
    <row r="21" spans="2:12" ht="17.399999999999999" customHeight="1" x14ac:dyDescent="0.35">
      <c r="B21" s="18"/>
      <c r="C21" s="25"/>
      <c r="D21" s="25"/>
      <c r="E21" s="25"/>
      <c r="F21" s="25"/>
      <c r="G21" s="25"/>
      <c r="H21" s="25"/>
      <c r="I21" s="25"/>
      <c r="J21" s="7"/>
    </row>
    <row r="22" spans="2:12" ht="17.399999999999999" customHeight="1" x14ac:dyDescent="0.35">
      <c r="B22" s="18"/>
      <c r="C22" s="16"/>
      <c r="D22" s="16"/>
      <c r="E22" s="16"/>
      <c r="F22" s="16"/>
      <c r="G22" s="16"/>
      <c r="H22" s="16"/>
      <c r="I22" s="16"/>
      <c r="J22" s="7">
        <f>J19+J20+J21</f>
        <v>258730</v>
      </c>
    </row>
    <row r="23" spans="2:12" ht="15.5" x14ac:dyDescent="0.35">
      <c r="B23" s="8"/>
      <c r="C23" s="26" t="s">
        <v>97</v>
      </c>
      <c r="D23" s="26"/>
      <c r="E23" s="26"/>
      <c r="F23" s="26"/>
      <c r="G23" s="26"/>
      <c r="H23" s="26"/>
      <c r="I23" s="26"/>
      <c r="J23" s="26"/>
    </row>
    <row r="24" spans="2:12" ht="15.5" x14ac:dyDescent="0.35">
      <c r="B24" s="18"/>
      <c r="C24" s="22" t="s">
        <v>12</v>
      </c>
      <c r="D24" s="22"/>
      <c r="E24" s="22"/>
      <c r="F24" s="8"/>
      <c r="G24" s="8"/>
      <c r="H24" s="8"/>
      <c r="I24" s="8"/>
      <c r="J24" s="9">
        <v>0</v>
      </c>
    </row>
    <row r="25" spans="2:12" ht="15.5" x14ac:dyDescent="0.35">
      <c r="B25" s="18"/>
      <c r="C25" s="22" t="s">
        <v>20</v>
      </c>
      <c r="D25" s="22"/>
      <c r="E25" s="22"/>
      <c r="F25" s="8"/>
      <c r="G25" s="8"/>
      <c r="H25" s="8"/>
      <c r="I25" s="8"/>
      <c r="J25" s="9">
        <v>0</v>
      </c>
    </row>
    <row r="26" spans="2:12" ht="15.5" x14ac:dyDescent="0.35">
      <c r="B26" s="18"/>
      <c r="C26" s="22" t="s">
        <v>13</v>
      </c>
      <c r="D26" s="22"/>
      <c r="E26" s="22"/>
      <c r="F26" s="8"/>
      <c r="G26" s="8" t="s">
        <v>19</v>
      </c>
      <c r="H26" s="8"/>
      <c r="I26" s="8"/>
      <c r="J26" s="12">
        <f>J22</f>
        <v>258730</v>
      </c>
    </row>
    <row r="27" spans="2:12" ht="15.5" x14ac:dyDescent="0.35">
      <c r="B27" s="8"/>
      <c r="C27" s="22"/>
      <c r="D27" s="22"/>
      <c r="E27" s="22"/>
      <c r="F27" s="8"/>
      <c r="G27" s="8"/>
      <c r="H27" s="8"/>
      <c r="I27" s="8"/>
      <c r="J27" s="8"/>
      <c r="L27" s="11"/>
    </row>
    <row r="28" spans="2:12" x14ac:dyDescent="0.3">
      <c r="B28" s="23" t="s">
        <v>14</v>
      </c>
      <c r="C28" s="23"/>
      <c r="D28" s="23"/>
      <c r="E28" s="23"/>
      <c r="F28" s="23"/>
      <c r="G28" s="23"/>
      <c r="H28" s="23"/>
      <c r="I28" s="23"/>
      <c r="J28" s="23"/>
    </row>
    <row r="29" spans="2:12" x14ac:dyDescent="0.3">
      <c r="B29" s="23"/>
      <c r="C29" s="23"/>
      <c r="D29" s="23"/>
      <c r="E29" s="23"/>
      <c r="F29" s="23"/>
      <c r="G29" s="23"/>
      <c r="H29" s="23"/>
      <c r="I29" s="23"/>
      <c r="J29" s="23"/>
    </row>
    <row r="30" spans="2:12" x14ac:dyDescent="0.3">
      <c r="B30" s="23"/>
      <c r="C30" s="23"/>
      <c r="D30" s="23"/>
      <c r="E30" s="23"/>
      <c r="F30" s="23"/>
      <c r="G30" s="23"/>
      <c r="H30" s="23"/>
      <c r="I30" s="23"/>
      <c r="J30" s="23"/>
    </row>
    <row r="31" spans="2:12" x14ac:dyDescent="0.3">
      <c r="K31" s="11">
        <f>J31+'11'!J19</f>
        <v>258730</v>
      </c>
    </row>
    <row r="33" spans="2:10" ht="14.15" customHeight="1" x14ac:dyDescent="0.3">
      <c r="B33" s="24" t="s">
        <v>15</v>
      </c>
      <c r="C33" s="24"/>
      <c r="D33" s="24"/>
      <c r="E33" s="24"/>
      <c r="F33" s="24"/>
      <c r="G33" s="24"/>
      <c r="H33" s="24"/>
      <c r="I33" s="24"/>
      <c r="J33" s="24"/>
    </row>
    <row r="34" spans="2:10" ht="14.15" customHeight="1" x14ac:dyDescent="0.3">
      <c r="B34" s="24"/>
      <c r="C34" s="24"/>
      <c r="D34" s="24"/>
      <c r="E34" s="24"/>
      <c r="F34" s="24"/>
      <c r="G34" s="24"/>
      <c r="H34" s="24"/>
      <c r="I34" s="24"/>
      <c r="J34" s="24"/>
    </row>
    <row r="35" spans="2:10" x14ac:dyDescent="0.3">
      <c r="B35" s="24"/>
      <c r="C35" s="24"/>
      <c r="D35" s="24"/>
      <c r="E35" s="24"/>
      <c r="F35" s="24"/>
      <c r="G35" s="24"/>
      <c r="H35" s="24"/>
      <c r="I35" s="24"/>
      <c r="J35" s="24"/>
    </row>
    <row r="36" spans="2:10" x14ac:dyDescent="0.3">
      <c r="B36" s="24"/>
      <c r="C36" s="24"/>
      <c r="D36" s="24"/>
      <c r="E36" s="24"/>
      <c r="F36" s="24"/>
      <c r="G36" s="24"/>
      <c r="H36" s="24"/>
      <c r="I36" s="24"/>
      <c r="J36" s="24"/>
    </row>
    <row r="37" spans="2:10" ht="15.5" x14ac:dyDescent="0.35">
      <c r="B37" s="8"/>
      <c r="C37" s="8"/>
      <c r="D37" s="8"/>
      <c r="E37" s="8"/>
      <c r="F37" s="8"/>
      <c r="G37" s="8"/>
      <c r="H37" s="8"/>
      <c r="I37" s="8"/>
      <c r="J37" s="8"/>
    </row>
    <row r="38" spans="2:10" ht="15.5" x14ac:dyDescent="0.35">
      <c r="B38" s="8"/>
      <c r="C38" s="8"/>
      <c r="D38" s="8"/>
      <c r="E38" s="8"/>
      <c r="F38" s="8"/>
      <c r="G38" s="8"/>
      <c r="H38" s="8"/>
      <c r="I38" s="8"/>
      <c r="J38" s="8"/>
    </row>
  </sheetData>
  <mergeCells count="34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1:J11"/>
    <mergeCell ref="C18:E18"/>
    <mergeCell ref="C19:I19"/>
    <mergeCell ref="C12:E12"/>
    <mergeCell ref="C13:E13"/>
    <mergeCell ref="C14:E14"/>
    <mergeCell ref="C15:E15"/>
    <mergeCell ref="C27:E27"/>
    <mergeCell ref="B28:J30"/>
    <mergeCell ref="B33:J34"/>
    <mergeCell ref="B35:J36"/>
    <mergeCell ref="C16:E16"/>
    <mergeCell ref="C17:E17"/>
    <mergeCell ref="C20:I20"/>
    <mergeCell ref="C21:I21"/>
    <mergeCell ref="C23:J23"/>
    <mergeCell ref="C24:E24"/>
    <mergeCell ref="C25:E25"/>
    <mergeCell ref="C26:E26"/>
  </mergeCells>
  <pageMargins left="0.7" right="0.7" top="0.75" bottom="0.75" header="0.3" footer="0.3"/>
  <pageSetup paperSize="9" scale="69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53AE-5230-4864-BCD3-7824A3FCA708}">
  <sheetPr>
    <pageSetUpPr fitToPage="1"/>
  </sheetPr>
  <dimension ref="B2:M50"/>
  <sheetViews>
    <sheetView tabSelected="1" topLeftCell="A20" zoomScaleNormal="100" workbookViewId="0">
      <selection activeCell="K32" sqref="K3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10" style="1" bestFit="1" customWidth="1"/>
    <col min="12" max="12" width="11.08984375" style="1" bestFit="1" customWidth="1"/>
    <col min="13" max="16384" width="8.6328125" style="1"/>
  </cols>
  <sheetData>
    <row r="2" spans="2:13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3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3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288</v>
      </c>
    </row>
    <row r="5" spans="2:13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3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45713</v>
      </c>
      <c r="J6" s="30"/>
    </row>
    <row r="7" spans="2:13" ht="20.149999999999999" customHeight="1" x14ac:dyDescent="0.3">
      <c r="B7" s="31" t="s">
        <v>3</v>
      </c>
      <c r="C7" s="31"/>
      <c r="D7" s="32" t="s">
        <v>99</v>
      </c>
      <c r="E7" s="32"/>
      <c r="F7" s="32"/>
      <c r="G7" s="32"/>
      <c r="H7" s="3" t="s">
        <v>17</v>
      </c>
      <c r="I7" s="29">
        <v>45765</v>
      </c>
      <c r="J7" s="30"/>
    </row>
    <row r="8" spans="2:13" ht="18.899999999999999" customHeight="1" x14ac:dyDescent="0.3">
      <c r="B8" s="24" t="s">
        <v>5</v>
      </c>
      <c r="C8" s="24"/>
      <c r="D8" s="23" t="s">
        <v>99</v>
      </c>
      <c r="E8" s="23"/>
      <c r="F8" s="23"/>
      <c r="G8" s="23"/>
      <c r="H8" s="23"/>
      <c r="I8" s="23"/>
      <c r="J8" s="23"/>
    </row>
    <row r="9" spans="2:13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3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90</v>
      </c>
      <c r="J10" s="16" t="s">
        <v>10</v>
      </c>
    </row>
    <row r="11" spans="2:13" ht="15" x14ac:dyDescent="0.3">
      <c r="B11" s="2"/>
      <c r="C11" s="24"/>
      <c r="D11" s="24"/>
      <c r="E11" s="24"/>
      <c r="F11" s="24"/>
      <c r="G11" s="24"/>
      <c r="H11" s="24"/>
      <c r="I11" s="24"/>
      <c r="J11" s="24"/>
    </row>
    <row r="12" spans="2:13" ht="15.5" x14ac:dyDescent="0.3">
      <c r="B12" s="4">
        <v>1</v>
      </c>
      <c r="C12" s="32" t="s">
        <v>100</v>
      </c>
      <c r="D12" s="32"/>
      <c r="E12" s="32"/>
      <c r="F12" s="5">
        <v>1</v>
      </c>
      <c r="G12" s="13">
        <v>397</v>
      </c>
      <c r="H12" s="4" t="s">
        <v>35</v>
      </c>
      <c r="I12" s="19">
        <v>150</v>
      </c>
      <c r="J12" s="6">
        <f t="shared" ref="J12:J18" si="0">F12*I12*G12</f>
        <v>59550</v>
      </c>
    </row>
    <row r="13" spans="2:13" ht="15.5" x14ac:dyDescent="0.3">
      <c r="B13" s="4">
        <v>2</v>
      </c>
      <c r="C13" s="32" t="s">
        <v>101</v>
      </c>
      <c r="D13" s="32"/>
      <c r="E13" s="32"/>
      <c r="F13" s="5">
        <v>1</v>
      </c>
      <c r="G13" s="13">
        <v>328</v>
      </c>
      <c r="H13" s="4" t="s">
        <v>35</v>
      </c>
      <c r="I13" s="19">
        <v>110</v>
      </c>
      <c r="J13" s="6">
        <f t="shared" si="0"/>
        <v>36080</v>
      </c>
    </row>
    <row r="14" spans="2:13" ht="15.5" x14ac:dyDescent="0.3">
      <c r="B14" s="4">
        <v>3</v>
      </c>
      <c r="C14" s="32" t="s">
        <v>102</v>
      </c>
      <c r="D14" s="32"/>
      <c r="E14" s="32"/>
      <c r="F14" s="5">
        <v>1</v>
      </c>
      <c r="G14" s="13">
        <v>10</v>
      </c>
      <c r="H14" s="4" t="s">
        <v>39</v>
      </c>
      <c r="I14" s="19">
        <v>3000</v>
      </c>
      <c r="J14" s="6">
        <f t="shared" si="0"/>
        <v>30000</v>
      </c>
    </row>
    <row r="15" spans="2:13" ht="15.5" x14ac:dyDescent="0.3">
      <c r="B15" s="4">
        <v>4</v>
      </c>
      <c r="C15" s="32" t="s">
        <v>103</v>
      </c>
      <c r="D15" s="32"/>
      <c r="E15" s="32"/>
      <c r="F15" s="5">
        <v>1</v>
      </c>
      <c r="G15" s="13">
        <v>13</v>
      </c>
      <c r="H15" s="4" t="s">
        <v>39</v>
      </c>
      <c r="I15" s="19">
        <v>3500</v>
      </c>
      <c r="J15" s="6">
        <f t="shared" si="0"/>
        <v>45500</v>
      </c>
      <c r="M15" s="1">
        <v>66</v>
      </c>
    </row>
    <row r="16" spans="2:13" ht="15.5" x14ac:dyDescent="0.3">
      <c r="B16" s="4">
        <v>5</v>
      </c>
      <c r="C16" s="32" t="s">
        <v>104</v>
      </c>
      <c r="D16" s="32"/>
      <c r="E16" s="32"/>
      <c r="F16" s="5">
        <v>1</v>
      </c>
      <c r="G16" s="13">
        <v>12</v>
      </c>
      <c r="H16" s="4" t="s">
        <v>39</v>
      </c>
      <c r="I16" s="19">
        <v>1800</v>
      </c>
      <c r="J16" s="6">
        <f t="shared" si="0"/>
        <v>21600</v>
      </c>
    </row>
    <row r="17" spans="2:11" ht="15.5" x14ac:dyDescent="0.3">
      <c r="B17" s="4">
        <v>6</v>
      </c>
      <c r="C17" s="32" t="s">
        <v>105</v>
      </c>
      <c r="D17" s="32"/>
      <c r="E17" s="32"/>
      <c r="F17" s="5">
        <v>1</v>
      </c>
      <c r="G17" s="13">
        <v>240</v>
      </c>
      <c r="H17" s="4" t="s">
        <v>35</v>
      </c>
      <c r="I17" s="14">
        <v>90</v>
      </c>
      <c r="J17" s="6">
        <f t="shared" si="0"/>
        <v>21600</v>
      </c>
    </row>
    <row r="18" spans="2:11" ht="15.5" x14ac:dyDescent="0.3">
      <c r="B18" s="4">
        <v>7</v>
      </c>
      <c r="C18" s="32" t="s">
        <v>106</v>
      </c>
      <c r="D18" s="32"/>
      <c r="E18" s="32"/>
      <c r="F18" s="5">
        <v>1</v>
      </c>
      <c r="G18" s="13">
        <v>265</v>
      </c>
      <c r="H18" s="4" t="s">
        <v>35</v>
      </c>
      <c r="I18" s="14">
        <v>50</v>
      </c>
      <c r="J18" s="6">
        <f t="shared" si="0"/>
        <v>13250</v>
      </c>
    </row>
    <row r="19" spans="2:11" ht="15.5" x14ac:dyDescent="0.3">
      <c r="B19" s="4">
        <v>8</v>
      </c>
      <c r="C19" s="32" t="s">
        <v>107</v>
      </c>
      <c r="D19" s="32"/>
      <c r="E19" s="32"/>
      <c r="F19" s="5"/>
      <c r="G19" s="13"/>
      <c r="H19" s="4"/>
      <c r="I19" s="14"/>
      <c r="J19" s="6"/>
    </row>
    <row r="20" spans="2:11" ht="15.5" x14ac:dyDescent="0.3">
      <c r="B20" s="4"/>
      <c r="C20" s="32" t="s">
        <v>108</v>
      </c>
      <c r="D20" s="32"/>
      <c r="E20" s="32"/>
      <c r="F20" s="5">
        <v>1</v>
      </c>
      <c r="G20" s="13">
        <f>57+42</f>
        <v>99</v>
      </c>
      <c r="H20" s="4" t="s">
        <v>35</v>
      </c>
      <c r="I20" s="14">
        <v>90</v>
      </c>
      <c r="J20" s="6">
        <f t="shared" ref="J20:J30" si="1">F20*I20*G20</f>
        <v>8910</v>
      </c>
    </row>
    <row r="21" spans="2:11" ht="15.5" x14ac:dyDescent="0.3">
      <c r="B21" s="4"/>
      <c r="C21" s="32" t="s">
        <v>109</v>
      </c>
      <c r="D21" s="32"/>
      <c r="E21" s="32"/>
      <c r="F21" s="5">
        <v>1</v>
      </c>
      <c r="G21" s="13">
        <v>1579</v>
      </c>
      <c r="H21" s="4" t="s">
        <v>35</v>
      </c>
      <c r="I21" s="14">
        <v>30</v>
      </c>
      <c r="J21" s="6">
        <f t="shared" si="1"/>
        <v>47370</v>
      </c>
    </row>
    <row r="22" spans="2:11" ht="15.5" x14ac:dyDescent="0.3">
      <c r="B22" s="4"/>
      <c r="C22" s="32" t="s">
        <v>110</v>
      </c>
      <c r="D22" s="32"/>
      <c r="E22" s="32"/>
      <c r="F22" s="5">
        <v>1</v>
      </c>
      <c r="G22" s="13">
        <v>259</v>
      </c>
      <c r="H22" s="4" t="s">
        <v>35</v>
      </c>
      <c r="I22" s="14">
        <v>80</v>
      </c>
      <c r="J22" s="6">
        <f t="shared" si="1"/>
        <v>20720</v>
      </c>
    </row>
    <row r="23" spans="2:11" ht="15.5" x14ac:dyDescent="0.3">
      <c r="B23" s="4"/>
      <c r="C23" s="32" t="s">
        <v>111</v>
      </c>
      <c r="D23" s="32"/>
      <c r="E23" s="32"/>
      <c r="F23" s="5">
        <v>1</v>
      </c>
      <c r="G23" s="13">
        <v>18</v>
      </c>
      <c r="H23" s="4" t="s">
        <v>35</v>
      </c>
      <c r="I23" s="14">
        <v>50</v>
      </c>
      <c r="J23" s="6">
        <f t="shared" si="1"/>
        <v>900</v>
      </c>
    </row>
    <row r="24" spans="2:11" ht="15.5" x14ac:dyDescent="0.3">
      <c r="B24" s="4"/>
      <c r="C24" s="32" t="s">
        <v>112</v>
      </c>
      <c r="D24" s="32"/>
      <c r="E24" s="32"/>
      <c r="F24" s="5">
        <v>1</v>
      </c>
      <c r="G24" s="13">
        <v>8</v>
      </c>
      <c r="H24" s="4" t="s">
        <v>35</v>
      </c>
      <c r="I24" s="14">
        <v>70</v>
      </c>
      <c r="J24" s="6">
        <f t="shared" si="1"/>
        <v>560</v>
      </c>
    </row>
    <row r="25" spans="2:11" ht="15.5" x14ac:dyDescent="0.3">
      <c r="B25" s="4"/>
      <c r="C25" s="32" t="s">
        <v>113</v>
      </c>
      <c r="D25" s="32"/>
      <c r="E25" s="32"/>
      <c r="F25" s="5">
        <v>1</v>
      </c>
      <c r="G25" s="13">
        <v>90</v>
      </c>
      <c r="H25" s="4" t="s">
        <v>35</v>
      </c>
      <c r="I25" s="14">
        <v>35</v>
      </c>
      <c r="J25" s="6">
        <f t="shared" si="1"/>
        <v>3150</v>
      </c>
    </row>
    <row r="26" spans="2:11" ht="15.5" x14ac:dyDescent="0.3">
      <c r="B26" s="4"/>
      <c r="C26" s="32" t="s">
        <v>114</v>
      </c>
      <c r="D26" s="32"/>
      <c r="E26" s="32"/>
      <c r="F26" s="5">
        <v>1</v>
      </c>
      <c r="G26" s="20">
        <v>399.14</v>
      </c>
      <c r="H26" s="4" t="s">
        <v>35</v>
      </c>
      <c r="I26" s="14">
        <v>70</v>
      </c>
      <c r="J26" s="6">
        <f t="shared" si="1"/>
        <v>27939.8</v>
      </c>
    </row>
    <row r="27" spans="2:11" ht="15.5" x14ac:dyDescent="0.3">
      <c r="B27" s="4"/>
      <c r="C27" s="32" t="s">
        <v>115</v>
      </c>
      <c r="D27" s="32"/>
      <c r="E27" s="32"/>
      <c r="F27" s="5">
        <v>1</v>
      </c>
      <c r="G27" s="13">
        <v>100</v>
      </c>
      <c r="H27" s="4" t="s">
        <v>39</v>
      </c>
      <c r="I27" s="14">
        <v>150</v>
      </c>
      <c r="J27" s="6">
        <f t="shared" si="1"/>
        <v>15000</v>
      </c>
    </row>
    <row r="28" spans="2:11" ht="30.5" customHeight="1" x14ac:dyDescent="0.3">
      <c r="B28" s="4">
        <v>9</v>
      </c>
      <c r="C28" s="32" t="s">
        <v>116</v>
      </c>
      <c r="D28" s="32"/>
      <c r="E28" s="32"/>
      <c r="F28" s="5">
        <v>1</v>
      </c>
      <c r="G28" s="13">
        <v>33</v>
      </c>
      <c r="H28" s="4" t="s">
        <v>39</v>
      </c>
      <c r="I28" s="14">
        <v>300</v>
      </c>
      <c r="J28" s="6">
        <f t="shared" si="1"/>
        <v>9900</v>
      </c>
    </row>
    <row r="29" spans="2:11" ht="15.5" x14ac:dyDescent="0.3">
      <c r="B29" s="4">
        <v>10</v>
      </c>
      <c r="C29" s="32" t="s">
        <v>117</v>
      </c>
      <c r="D29" s="32"/>
      <c r="E29" s="32"/>
      <c r="F29" s="5">
        <v>1</v>
      </c>
      <c r="G29" s="13">
        <v>11</v>
      </c>
      <c r="H29" s="4" t="s">
        <v>39</v>
      </c>
      <c r="I29" s="14">
        <v>200</v>
      </c>
      <c r="J29" s="6">
        <f t="shared" si="1"/>
        <v>2200</v>
      </c>
    </row>
    <row r="30" spans="2:11" ht="15.5" x14ac:dyDescent="0.3">
      <c r="B30" s="4">
        <v>11</v>
      </c>
      <c r="C30" s="32" t="s">
        <v>118</v>
      </c>
      <c r="D30" s="32"/>
      <c r="E30" s="32"/>
      <c r="F30" s="5">
        <v>1</v>
      </c>
      <c r="G30" s="13">
        <v>18</v>
      </c>
      <c r="H30" s="4" t="s">
        <v>39</v>
      </c>
      <c r="I30" s="14">
        <v>300</v>
      </c>
      <c r="J30" s="6">
        <f t="shared" si="1"/>
        <v>5400</v>
      </c>
    </row>
    <row r="31" spans="2:11" ht="17.399999999999999" customHeight="1" x14ac:dyDescent="0.35">
      <c r="B31" s="18"/>
      <c r="C31" s="27" t="s">
        <v>18</v>
      </c>
      <c r="D31" s="27"/>
      <c r="E31" s="27"/>
      <c r="F31" s="27"/>
      <c r="G31" s="27"/>
      <c r="H31" s="27"/>
      <c r="I31" s="27"/>
      <c r="J31" s="21">
        <f>SUM(J12:J30)</f>
        <v>369629.8</v>
      </c>
      <c r="K31" s="37">
        <f>J31+'11'!J19+'9'!J20+'5'!J15</f>
        <v>1293439.8</v>
      </c>
    </row>
    <row r="32" spans="2:11" ht="17.399999999999999" customHeight="1" x14ac:dyDescent="0.35">
      <c r="B32" s="18"/>
      <c r="C32" s="25" t="s">
        <v>24</v>
      </c>
      <c r="D32" s="25"/>
      <c r="E32" s="25"/>
      <c r="F32" s="25"/>
      <c r="G32" s="25"/>
      <c r="H32" s="25"/>
      <c r="I32" s="25"/>
      <c r="J32" s="7">
        <v>0</v>
      </c>
    </row>
    <row r="33" spans="2:12" ht="17.399999999999999" customHeight="1" x14ac:dyDescent="0.35">
      <c r="B33" s="18"/>
      <c r="C33" s="25"/>
      <c r="D33" s="25"/>
      <c r="E33" s="25"/>
      <c r="F33" s="25"/>
      <c r="G33" s="25"/>
      <c r="H33" s="25"/>
      <c r="I33" s="25"/>
      <c r="J33" s="7"/>
    </row>
    <row r="34" spans="2:12" ht="17.399999999999999" customHeight="1" x14ac:dyDescent="0.35">
      <c r="B34" s="18"/>
      <c r="C34" s="16"/>
      <c r="D34" s="16"/>
      <c r="E34" s="16"/>
      <c r="F34" s="16"/>
      <c r="G34" s="16"/>
      <c r="H34" s="16"/>
      <c r="I34" s="16"/>
      <c r="J34" s="21">
        <f>J31+J32+J33</f>
        <v>369629.8</v>
      </c>
    </row>
    <row r="35" spans="2:12" ht="15.5" x14ac:dyDescent="0.35">
      <c r="B35" s="8"/>
      <c r="C35" s="26" t="s">
        <v>119</v>
      </c>
      <c r="D35" s="26"/>
      <c r="E35" s="26"/>
      <c r="F35" s="26"/>
      <c r="G35" s="26"/>
      <c r="H35" s="26"/>
      <c r="I35" s="26"/>
      <c r="J35" s="26"/>
    </row>
    <row r="36" spans="2:12" ht="15.5" x14ac:dyDescent="0.35">
      <c r="B36" s="18"/>
      <c r="C36" s="22" t="s">
        <v>12</v>
      </c>
      <c r="D36" s="22"/>
      <c r="E36" s="22"/>
      <c r="F36" s="8"/>
      <c r="G36" s="8"/>
      <c r="H36" s="8"/>
      <c r="I36" s="8"/>
      <c r="J36" s="9">
        <v>0</v>
      </c>
    </row>
    <row r="37" spans="2:12" ht="15.5" x14ac:dyDescent="0.35">
      <c r="B37" s="18"/>
      <c r="C37" s="22" t="s">
        <v>20</v>
      </c>
      <c r="D37" s="22"/>
      <c r="E37" s="22"/>
      <c r="F37" s="8"/>
      <c r="G37" s="8"/>
      <c r="H37" s="8"/>
      <c r="I37" s="8"/>
      <c r="J37" s="9">
        <v>0</v>
      </c>
    </row>
    <row r="38" spans="2:12" ht="15.5" x14ac:dyDescent="0.35">
      <c r="B38" s="18"/>
      <c r="C38" s="22" t="s">
        <v>13</v>
      </c>
      <c r="D38" s="22"/>
      <c r="E38" s="22"/>
      <c r="F38" s="8"/>
      <c r="G38" s="8" t="s">
        <v>19</v>
      </c>
      <c r="H38" s="8"/>
      <c r="I38" s="8"/>
      <c r="J38" s="12">
        <f>J34</f>
        <v>369629.8</v>
      </c>
    </row>
    <row r="39" spans="2:12" ht="15.5" x14ac:dyDescent="0.35">
      <c r="B39" s="8"/>
      <c r="C39" s="22"/>
      <c r="D39" s="22"/>
      <c r="E39" s="22"/>
      <c r="F39" s="8"/>
      <c r="G39" s="8"/>
      <c r="H39" s="8"/>
      <c r="I39" s="8"/>
      <c r="J39" s="8"/>
      <c r="L39" s="11"/>
    </row>
    <row r="40" spans="2:12" x14ac:dyDescent="0.3">
      <c r="B40" s="23" t="s">
        <v>14</v>
      </c>
      <c r="C40" s="23"/>
      <c r="D40" s="23"/>
      <c r="E40" s="23"/>
      <c r="F40" s="23"/>
      <c r="G40" s="23"/>
      <c r="H40" s="23"/>
      <c r="I40" s="23"/>
      <c r="J40" s="23"/>
    </row>
    <row r="41" spans="2:12" x14ac:dyDescent="0.3">
      <c r="B41" s="23"/>
      <c r="C41" s="23"/>
      <c r="D41" s="23"/>
      <c r="E41" s="23"/>
      <c r="F41" s="23"/>
      <c r="G41" s="23"/>
      <c r="H41" s="23"/>
      <c r="I41" s="23"/>
      <c r="J41" s="23"/>
    </row>
    <row r="42" spans="2:12" x14ac:dyDescent="0.3">
      <c r="B42" s="23"/>
      <c r="C42" s="23"/>
      <c r="D42" s="23"/>
      <c r="E42" s="23"/>
      <c r="F42" s="23"/>
      <c r="G42" s="23"/>
      <c r="H42" s="23"/>
      <c r="I42" s="23"/>
      <c r="J42" s="23"/>
    </row>
    <row r="45" spans="2:12" ht="14.15" customHeight="1" x14ac:dyDescent="0.3">
      <c r="B45" s="24" t="s">
        <v>15</v>
      </c>
      <c r="C45" s="24"/>
      <c r="D45" s="24"/>
      <c r="E45" s="24"/>
      <c r="F45" s="24"/>
      <c r="G45" s="24"/>
      <c r="H45" s="24"/>
      <c r="I45" s="24"/>
      <c r="J45" s="24"/>
    </row>
    <row r="46" spans="2:12" ht="14.15" customHeight="1" x14ac:dyDescent="0.3">
      <c r="B46" s="24"/>
      <c r="C46" s="24"/>
      <c r="D46" s="24"/>
      <c r="E46" s="24"/>
      <c r="F46" s="24"/>
      <c r="G46" s="24"/>
      <c r="H46" s="24"/>
      <c r="I46" s="24"/>
      <c r="J46" s="24"/>
    </row>
    <row r="47" spans="2:12" x14ac:dyDescent="0.3">
      <c r="B47" s="24"/>
      <c r="C47" s="24"/>
      <c r="D47" s="24"/>
      <c r="E47" s="24"/>
      <c r="F47" s="24"/>
      <c r="G47" s="24"/>
      <c r="H47" s="24"/>
      <c r="I47" s="24"/>
      <c r="J47" s="24"/>
    </row>
    <row r="48" spans="2:12" x14ac:dyDescent="0.3">
      <c r="B48" s="24"/>
      <c r="C48" s="24"/>
      <c r="D48" s="24"/>
      <c r="E48" s="24"/>
      <c r="F48" s="24"/>
      <c r="G48" s="24"/>
      <c r="H48" s="24"/>
      <c r="I48" s="24"/>
      <c r="J48" s="24"/>
    </row>
    <row r="49" spans="2:10" ht="15.5" x14ac:dyDescent="0.35">
      <c r="B49" s="8"/>
      <c r="C49" s="8"/>
      <c r="D49" s="8"/>
      <c r="E49" s="8"/>
      <c r="F49" s="8"/>
      <c r="G49" s="8"/>
      <c r="H49" s="8"/>
      <c r="I49" s="8"/>
      <c r="J49" s="8"/>
    </row>
    <row r="50" spans="2:10" ht="15.5" x14ac:dyDescent="0.35">
      <c r="B50" s="8"/>
      <c r="C50" s="8"/>
      <c r="D50" s="8"/>
      <c r="E50" s="8"/>
      <c r="F50" s="8"/>
      <c r="G50" s="8"/>
      <c r="H50" s="8"/>
      <c r="I50" s="8"/>
      <c r="J50" s="8"/>
    </row>
  </sheetData>
  <mergeCells count="46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31:I31"/>
    <mergeCell ref="C32:I32"/>
    <mergeCell ref="B9:J9"/>
    <mergeCell ref="C10:E10"/>
    <mergeCell ref="C11:J11"/>
    <mergeCell ref="C28:E28"/>
    <mergeCell ref="C30:E30"/>
    <mergeCell ref="C27:E27"/>
    <mergeCell ref="C12:E12"/>
    <mergeCell ref="C13:E13"/>
    <mergeCell ref="C25:E25"/>
    <mergeCell ref="C26:E26"/>
    <mergeCell ref="C14:E14"/>
    <mergeCell ref="C15:E15"/>
    <mergeCell ref="C16:E16"/>
    <mergeCell ref="C22:E22"/>
    <mergeCell ref="B40:J42"/>
    <mergeCell ref="B45:J46"/>
    <mergeCell ref="B47:J48"/>
    <mergeCell ref="C33:I33"/>
    <mergeCell ref="C35:J35"/>
    <mergeCell ref="C36:E36"/>
    <mergeCell ref="C37:E37"/>
    <mergeCell ref="C38:E38"/>
    <mergeCell ref="C39:E39"/>
    <mergeCell ref="C23:E23"/>
    <mergeCell ref="C24:E24"/>
    <mergeCell ref="C29:E29"/>
    <mergeCell ref="C17:E17"/>
    <mergeCell ref="C18:E18"/>
    <mergeCell ref="C19:E19"/>
    <mergeCell ref="C20:E20"/>
    <mergeCell ref="C21:E21"/>
  </mergeCells>
  <pageMargins left="0.7" right="0.7" top="0.75" bottom="0.75" header="0.3" footer="0.3"/>
  <pageSetup paperSize="9" scale="56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7AC-11AE-4027-A7CB-4A67283F87C1}">
  <sheetPr>
    <pageSetUpPr fitToPage="1"/>
  </sheetPr>
  <dimension ref="B2:L32"/>
  <sheetViews>
    <sheetView topLeftCell="A5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290</v>
      </c>
    </row>
    <row r="5" spans="2:10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45713</v>
      </c>
      <c r="J6" s="30"/>
    </row>
    <row r="7" spans="2:10" ht="20.149999999999999" customHeight="1" x14ac:dyDescent="0.3">
      <c r="B7" s="31" t="s">
        <v>3</v>
      </c>
      <c r="C7" s="31"/>
      <c r="D7" s="32" t="s">
        <v>120</v>
      </c>
      <c r="E7" s="32"/>
      <c r="F7" s="32"/>
      <c r="G7" s="32"/>
      <c r="H7" s="3" t="s">
        <v>17</v>
      </c>
      <c r="I7" s="29">
        <v>45765</v>
      </c>
      <c r="J7" s="30"/>
    </row>
    <row r="8" spans="2:10" ht="18.899999999999999" customHeight="1" x14ac:dyDescent="0.3">
      <c r="B8" s="24" t="s">
        <v>5</v>
      </c>
      <c r="C8" s="24"/>
      <c r="D8" s="23" t="s">
        <v>120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90</v>
      </c>
      <c r="J10" s="16" t="s">
        <v>10</v>
      </c>
    </row>
    <row r="11" spans="2:10" ht="15" x14ac:dyDescent="0.3">
      <c r="B11" s="2"/>
      <c r="C11" s="24"/>
      <c r="D11" s="24"/>
      <c r="E11" s="24"/>
      <c r="F11" s="24"/>
      <c r="G11" s="24"/>
      <c r="H11" s="24"/>
      <c r="I11" s="24"/>
      <c r="J11" s="24"/>
    </row>
    <row r="12" spans="2:10" ht="42" customHeight="1" x14ac:dyDescent="0.3">
      <c r="B12" s="4">
        <v>1</v>
      </c>
      <c r="C12" s="32" t="s">
        <v>121</v>
      </c>
      <c r="D12" s="32"/>
      <c r="E12" s="32"/>
      <c r="F12" s="5">
        <v>1</v>
      </c>
      <c r="G12" s="13">
        <v>2</v>
      </c>
      <c r="H12" s="4" t="s">
        <v>98</v>
      </c>
      <c r="I12" s="19">
        <v>30000</v>
      </c>
      <c r="J12" s="6">
        <f>F12*I12*G12</f>
        <v>60000</v>
      </c>
    </row>
    <row r="13" spans="2:10" ht="17.399999999999999" customHeight="1" x14ac:dyDescent="0.35">
      <c r="B13" s="18"/>
      <c r="C13" s="27" t="s">
        <v>18</v>
      </c>
      <c r="D13" s="27"/>
      <c r="E13" s="27"/>
      <c r="F13" s="27"/>
      <c r="G13" s="27"/>
      <c r="H13" s="27"/>
      <c r="I13" s="27"/>
      <c r="J13" s="21">
        <f>SUM(J12:J12)</f>
        <v>60000</v>
      </c>
    </row>
    <row r="14" spans="2:10" ht="17.399999999999999" customHeight="1" x14ac:dyDescent="0.35">
      <c r="B14" s="18"/>
      <c r="C14" s="25" t="s">
        <v>24</v>
      </c>
      <c r="D14" s="25"/>
      <c r="E14" s="25"/>
      <c r="F14" s="25"/>
      <c r="G14" s="25"/>
      <c r="H14" s="25"/>
      <c r="I14" s="25"/>
      <c r="J14" s="7">
        <v>0</v>
      </c>
    </row>
    <row r="15" spans="2:10" ht="17.399999999999999" customHeight="1" x14ac:dyDescent="0.35">
      <c r="B15" s="18"/>
      <c r="C15" s="25"/>
      <c r="D15" s="25"/>
      <c r="E15" s="25"/>
      <c r="F15" s="25"/>
      <c r="G15" s="25"/>
      <c r="H15" s="25"/>
      <c r="I15" s="25"/>
      <c r="J15" s="7"/>
    </row>
    <row r="16" spans="2:10" ht="17.399999999999999" customHeight="1" x14ac:dyDescent="0.35">
      <c r="B16" s="18"/>
      <c r="C16" s="16"/>
      <c r="D16" s="16"/>
      <c r="E16" s="16"/>
      <c r="F16" s="16"/>
      <c r="G16" s="16"/>
      <c r="H16" s="16"/>
      <c r="I16" s="16"/>
      <c r="J16" s="21">
        <f>J13+J14+J15</f>
        <v>60000</v>
      </c>
    </row>
    <row r="17" spans="2:12" ht="15.5" x14ac:dyDescent="0.35">
      <c r="B17" s="8"/>
      <c r="C17" s="26" t="s">
        <v>122</v>
      </c>
      <c r="D17" s="26"/>
      <c r="E17" s="26"/>
      <c r="F17" s="26"/>
      <c r="G17" s="26"/>
      <c r="H17" s="26"/>
      <c r="I17" s="26"/>
      <c r="J17" s="26"/>
    </row>
    <row r="18" spans="2:12" ht="15.5" x14ac:dyDescent="0.35">
      <c r="B18" s="18"/>
      <c r="C18" s="22" t="s">
        <v>12</v>
      </c>
      <c r="D18" s="22"/>
      <c r="E18" s="22"/>
      <c r="F18" s="8"/>
      <c r="G18" s="8"/>
      <c r="H18" s="8"/>
      <c r="I18" s="8"/>
      <c r="J18" s="9">
        <v>0</v>
      </c>
    </row>
    <row r="19" spans="2:12" ht="15.5" x14ac:dyDescent="0.35">
      <c r="B19" s="18"/>
      <c r="C19" s="22" t="s">
        <v>20</v>
      </c>
      <c r="D19" s="22"/>
      <c r="E19" s="22"/>
      <c r="F19" s="8"/>
      <c r="G19" s="8"/>
      <c r="H19" s="8"/>
      <c r="I19" s="8"/>
      <c r="J19" s="9">
        <v>0</v>
      </c>
    </row>
    <row r="20" spans="2:12" ht="15.5" x14ac:dyDescent="0.35">
      <c r="B20" s="18"/>
      <c r="C20" s="22" t="s">
        <v>13</v>
      </c>
      <c r="D20" s="22"/>
      <c r="E20" s="22"/>
      <c r="F20" s="8"/>
      <c r="G20" s="8" t="s">
        <v>19</v>
      </c>
      <c r="H20" s="8"/>
      <c r="I20" s="8"/>
      <c r="J20" s="12">
        <f>J16</f>
        <v>60000</v>
      </c>
    </row>
    <row r="21" spans="2:12" ht="15.5" x14ac:dyDescent="0.35">
      <c r="B21" s="8"/>
      <c r="C21" s="22"/>
      <c r="D21" s="22"/>
      <c r="E21" s="22"/>
      <c r="F21" s="8"/>
      <c r="G21" s="8"/>
      <c r="H21" s="8"/>
      <c r="I21" s="8"/>
      <c r="J21" s="8"/>
      <c r="L21" s="11"/>
    </row>
    <row r="22" spans="2:12" x14ac:dyDescent="0.3">
      <c r="B22" s="23" t="s">
        <v>14</v>
      </c>
      <c r="C22" s="23"/>
      <c r="D22" s="23"/>
      <c r="E22" s="23"/>
      <c r="F22" s="23"/>
      <c r="G22" s="23"/>
      <c r="H22" s="23"/>
      <c r="I22" s="23"/>
      <c r="J22" s="23"/>
    </row>
    <row r="23" spans="2:12" x14ac:dyDescent="0.3">
      <c r="B23" s="23"/>
      <c r="C23" s="23"/>
      <c r="D23" s="23"/>
      <c r="E23" s="23"/>
      <c r="F23" s="23"/>
      <c r="G23" s="23"/>
      <c r="H23" s="23"/>
      <c r="I23" s="23"/>
      <c r="J23" s="23"/>
    </row>
    <row r="24" spans="2:12" x14ac:dyDescent="0.3">
      <c r="B24" s="23"/>
      <c r="C24" s="23"/>
      <c r="D24" s="23"/>
      <c r="E24" s="23"/>
      <c r="F24" s="23"/>
      <c r="G24" s="23"/>
      <c r="H24" s="23"/>
      <c r="I24" s="23"/>
      <c r="J24" s="23"/>
    </row>
    <row r="27" spans="2:12" ht="14.15" customHeight="1" x14ac:dyDescent="0.3">
      <c r="B27" s="24" t="s">
        <v>15</v>
      </c>
      <c r="C27" s="24"/>
      <c r="D27" s="24"/>
      <c r="E27" s="24"/>
      <c r="F27" s="24"/>
      <c r="G27" s="24"/>
      <c r="H27" s="24"/>
      <c r="I27" s="24"/>
      <c r="J27" s="24"/>
    </row>
    <row r="28" spans="2:12" ht="14.15" customHeight="1" x14ac:dyDescent="0.3">
      <c r="B28" s="24"/>
      <c r="C28" s="24"/>
      <c r="D28" s="24"/>
      <c r="E28" s="24"/>
      <c r="F28" s="24"/>
      <c r="G28" s="24"/>
      <c r="H28" s="24"/>
      <c r="I28" s="24"/>
      <c r="J28" s="24"/>
    </row>
    <row r="29" spans="2:12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2" x14ac:dyDescent="0.3">
      <c r="B30" s="24"/>
      <c r="C30" s="24"/>
      <c r="D30" s="24"/>
      <c r="E30" s="24"/>
      <c r="F30" s="24"/>
      <c r="G30" s="24"/>
      <c r="H30" s="24"/>
      <c r="I30" s="24"/>
      <c r="J30" s="24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3:I13"/>
    <mergeCell ref="C14:I14"/>
    <mergeCell ref="B9:J9"/>
    <mergeCell ref="C10:E10"/>
    <mergeCell ref="C11:J11"/>
    <mergeCell ref="C12:E12"/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</mergeCells>
  <pageMargins left="0.7" right="0.7" top="0.75" bottom="0.75" header="0.3" footer="0.3"/>
  <pageSetup paperSize="9" scale="69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7CC0-181F-419D-B141-94FD4A104F80}">
  <sheetPr>
    <pageSetUpPr fitToPage="1"/>
  </sheetPr>
  <dimension ref="B2:L38"/>
  <sheetViews>
    <sheetView topLeftCell="A10" zoomScaleNormal="100" workbookViewId="0">
      <selection activeCell="J14" sqref="J14:J1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5.179687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</row>
    <row r="3" spans="2:10" ht="18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35" t="s">
        <v>16</v>
      </c>
      <c r="C4" s="35"/>
      <c r="D4" s="22" t="s">
        <v>27</v>
      </c>
      <c r="E4" s="22"/>
      <c r="F4" s="22"/>
      <c r="G4" s="22"/>
      <c r="H4" s="36" t="s">
        <v>22</v>
      </c>
      <c r="I4" s="36"/>
      <c r="J4" s="8">
        <v>293</v>
      </c>
    </row>
    <row r="5" spans="2:10" ht="18.899999999999999" customHeight="1" x14ac:dyDescent="0.3">
      <c r="B5" s="24" t="s">
        <v>1</v>
      </c>
      <c r="C5" s="24"/>
      <c r="D5" s="23" t="s">
        <v>66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28</v>
      </c>
      <c r="C6" s="28"/>
      <c r="D6" s="28"/>
      <c r="E6" s="28"/>
      <c r="F6" s="28"/>
      <c r="G6" s="28"/>
      <c r="H6" s="10" t="s">
        <v>2</v>
      </c>
      <c r="I6" s="29">
        <v>45799</v>
      </c>
      <c r="J6" s="30"/>
    </row>
    <row r="7" spans="2:10" ht="20.149999999999999" customHeight="1" x14ac:dyDescent="0.3">
      <c r="B7" s="31" t="s">
        <v>3</v>
      </c>
      <c r="C7" s="31"/>
      <c r="D7" s="32" t="s">
        <v>120</v>
      </c>
      <c r="E7" s="32"/>
      <c r="F7" s="32"/>
      <c r="G7" s="32"/>
      <c r="H7" s="3" t="s">
        <v>17</v>
      </c>
      <c r="I7" s="29">
        <v>45795</v>
      </c>
      <c r="J7" s="30"/>
    </row>
    <row r="8" spans="2:10" ht="18.899999999999999" customHeight="1" x14ac:dyDescent="0.3">
      <c r="B8" s="24" t="s">
        <v>5</v>
      </c>
      <c r="C8" s="24"/>
      <c r="D8" s="23" t="s">
        <v>120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90</v>
      </c>
      <c r="J10" s="16" t="s">
        <v>10</v>
      </c>
    </row>
    <row r="11" spans="2:10" ht="15" x14ac:dyDescent="0.3">
      <c r="B11" s="2"/>
      <c r="C11" s="24" t="s">
        <v>123</v>
      </c>
      <c r="D11" s="24"/>
      <c r="E11" s="24"/>
      <c r="F11" s="24"/>
      <c r="G11" s="24"/>
      <c r="H11" s="24"/>
      <c r="I11" s="24"/>
      <c r="J11" s="24"/>
    </row>
    <row r="12" spans="2:10" ht="27.5" customHeight="1" x14ac:dyDescent="0.3">
      <c r="B12" s="4">
        <v>1</v>
      </c>
      <c r="C12" s="32" t="s">
        <v>124</v>
      </c>
      <c r="D12" s="32"/>
      <c r="E12" s="32"/>
      <c r="F12" s="5">
        <v>1</v>
      </c>
      <c r="G12" s="13">
        <v>24</v>
      </c>
      <c r="H12" s="4" t="s">
        <v>98</v>
      </c>
      <c r="I12" s="19">
        <f>34000*7.5%</f>
        <v>2550</v>
      </c>
      <c r="J12" s="6">
        <f t="shared" ref="J12:J18" si="0">F12*I12*G12</f>
        <v>61200</v>
      </c>
    </row>
    <row r="13" spans="2:10" ht="27.5" customHeight="1" x14ac:dyDescent="0.3">
      <c r="B13" s="4">
        <v>2</v>
      </c>
      <c r="C13" s="32" t="s">
        <v>125</v>
      </c>
      <c r="D13" s="32"/>
      <c r="E13" s="32"/>
      <c r="F13" s="5">
        <v>1</v>
      </c>
      <c r="G13" s="13">
        <v>24</v>
      </c>
      <c r="H13" s="4" t="s">
        <v>98</v>
      </c>
      <c r="I13" s="19">
        <f>34000*7.5%</f>
        <v>2550</v>
      </c>
      <c r="J13" s="6">
        <f t="shared" si="0"/>
        <v>61200</v>
      </c>
    </row>
    <row r="14" spans="2:10" ht="27.5" customHeight="1" x14ac:dyDescent="0.3">
      <c r="B14" s="4">
        <v>3</v>
      </c>
      <c r="C14" s="32" t="s">
        <v>126</v>
      </c>
      <c r="D14" s="32"/>
      <c r="E14" s="32"/>
      <c r="F14" s="5">
        <v>1</v>
      </c>
      <c r="G14" s="13">
        <v>200</v>
      </c>
      <c r="H14" s="4" t="s">
        <v>35</v>
      </c>
      <c r="I14" s="19">
        <v>110</v>
      </c>
      <c r="J14" s="6">
        <f t="shared" si="0"/>
        <v>22000</v>
      </c>
    </row>
    <row r="15" spans="2:10" ht="27.5" customHeight="1" x14ac:dyDescent="0.3">
      <c r="B15" s="4">
        <v>4</v>
      </c>
      <c r="C15" s="32" t="s">
        <v>127</v>
      </c>
      <c r="D15" s="32"/>
      <c r="E15" s="32"/>
      <c r="F15" s="5">
        <v>1</v>
      </c>
      <c r="G15" s="13">
        <v>12</v>
      </c>
      <c r="H15" s="4" t="s">
        <v>39</v>
      </c>
      <c r="I15" s="19">
        <v>1800</v>
      </c>
      <c r="J15" s="6">
        <f t="shared" si="0"/>
        <v>21600</v>
      </c>
    </row>
    <row r="16" spans="2:10" ht="27.5" customHeight="1" x14ac:dyDescent="0.3">
      <c r="B16" s="4">
        <v>5</v>
      </c>
      <c r="C16" s="32" t="s">
        <v>128</v>
      </c>
      <c r="D16" s="32"/>
      <c r="E16" s="32"/>
      <c r="F16" s="5">
        <v>1</v>
      </c>
      <c r="G16" s="13">
        <v>1</v>
      </c>
      <c r="H16" s="4" t="s">
        <v>39</v>
      </c>
      <c r="I16" s="19">
        <v>6000</v>
      </c>
      <c r="J16" s="6">
        <f t="shared" si="0"/>
        <v>6000</v>
      </c>
    </row>
    <row r="17" spans="2:12" ht="27.5" customHeight="1" x14ac:dyDescent="0.3">
      <c r="B17" s="4">
        <v>6</v>
      </c>
      <c r="C17" s="32" t="s">
        <v>129</v>
      </c>
      <c r="D17" s="32"/>
      <c r="E17" s="32"/>
      <c r="F17" s="5">
        <v>1</v>
      </c>
      <c r="G17" s="13">
        <v>1</v>
      </c>
      <c r="H17" s="4" t="s">
        <v>39</v>
      </c>
      <c r="I17" s="19">
        <v>5000</v>
      </c>
      <c r="J17" s="6">
        <f t="shared" si="0"/>
        <v>5000</v>
      </c>
    </row>
    <row r="18" spans="2:12" ht="32" customHeight="1" x14ac:dyDescent="0.3">
      <c r="B18" s="4">
        <v>7</v>
      </c>
      <c r="C18" s="32" t="s">
        <v>130</v>
      </c>
      <c r="D18" s="32"/>
      <c r="E18" s="32"/>
      <c r="F18" s="5">
        <v>1</v>
      </c>
      <c r="G18" s="13">
        <v>1</v>
      </c>
      <c r="H18" s="4" t="s">
        <v>39</v>
      </c>
      <c r="I18" s="19">
        <v>30000</v>
      </c>
      <c r="J18" s="6">
        <f t="shared" si="0"/>
        <v>30000</v>
      </c>
    </row>
    <row r="19" spans="2:12" ht="17.399999999999999" customHeight="1" x14ac:dyDescent="0.35">
      <c r="B19" s="18"/>
      <c r="C19" s="27" t="s">
        <v>18</v>
      </c>
      <c r="D19" s="27"/>
      <c r="E19" s="27"/>
      <c r="F19" s="27"/>
      <c r="G19" s="27"/>
      <c r="H19" s="27"/>
      <c r="I19" s="27"/>
      <c r="J19" s="21">
        <f>SUM(J12:J18)</f>
        <v>207000</v>
      </c>
    </row>
    <row r="20" spans="2:12" ht="17.399999999999999" customHeight="1" x14ac:dyDescent="0.35">
      <c r="B20" s="18"/>
      <c r="C20" s="25" t="s">
        <v>24</v>
      </c>
      <c r="D20" s="25"/>
      <c r="E20" s="25"/>
      <c r="F20" s="25"/>
      <c r="G20" s="25"/>
      <c r="H20" s="25"/>
      <c r="I20" s="25"/>
      <c r="J20" s="7">
        <v>0</v>
      </c>
    </row>
    <row r="21" spans="2:12" ht="17.399999999999999" customHeight="1" x14ac:dyDescent="0.35">
      <c r="B21" s="18"/>
      <c r="C21" s="25"/>
      <c r="D21" s="25"/>
      <c r="E21" s="25"/>
      <c r="F21" s="25"/>
      <c r="G21" s="25"/>
      <c r="H21" s="25"/>
      <c r="I21" s="25"/>
      <c r="J21" s="7"/>
    </row>
    <row r="22" spans="2:12" ht="17.399999999999999" customHeight="1" x14ac:dyDescent="0.35">
      <c r="B22" s="18"/>
      <c r="C22" s="16"/>
      <c r="D22" s="16"/>
      <c r="E22" s="16"/>
      <c r="F22" s="16"/>
      <c r="G22" s="16"/>
      <c r="H22" s="16"/>
      <c r="I22" s="16"/>
      <c r="J22" s="21">
        <f>J19+J20+J21</f>
        <v>207000</v>
      </c>
    </row>
    <row r="23" spans="2:12" ht="15.5" x14ac:dyDescent="0.35">
      <c r="B23" s="8"/>
      <c r="C23" s="26" t="s">
        <v>131</v>
      </c>
      <c r="D23" s="26"/>
      <c r="E23" s="26"/>
      <c r="F23" s="26"/>
      <c r="G23" s="26"/>
      <c r="H23" s="26"/>
      <c r="I23" s="26"/>
      <c r="J23" s="26"/>
    </row>
    <row r="24" spans="2:12" ht="15.5" x14ac:dyDescent="0.35">
      <c r="B24" s="18"/>
      <c r="C24" s="22" t="s">
        <v>12</v>
      </c>
      <c r="D24" s="22"/>
      <c r="E24" s="22"/>
      <c r="F24" s="8"/>
      <c r="G24" s="8"/>
      <c r="H24" s="8"/>
      <c r="I24" s="8"/>
      <c r="J24" s="9">
        <v>0</v>
      </c>
    </row>
    <row r="25" spans="2:12" ht="15.5" x14ac:dyDescent="0.35">
      <c r="B25" s="18"/>
      <c r="C25" s="22" t="s">
        <v>20</v>
      </c>
      <c r="D25" s="22"/>
      <c r="E25" s="22"/>
      <c r="F25" s="8"/>
      <c r="G25" s="8"/>
      <c r="H25" s="8"/>
      <c r="I25" s="8"/>
      <c r="J25" s="9">
        <v>0</v>
      </c>
    </row>
    <row r="26" spans="2:12" ht="15.5" x14ac:dyDescent="0.35">
      <c r="B26" s="18"/>
      <c r="C26" s="22" t="s">
        <v>13</v>
      </c>
      <c r="D26" s="22"/>
      <c r="E26" s="22"/>
      <c r="F26" s="8"/>
      <c r="G26" s="8" t="s">
        <v>19</v>
      </c>
      <c r="H26" s="8"/>
      <c r="I26" s="8"/>
      <c r="J26" s="12">
        <f>J22</f>
        <v>207000</v>
      </c>
    </row>
    <row r="27" spans="2:12" ht="15.5" x14ac:dyDescent="0.35">
      <c r="B27" s="8"/>
      <c r="C27" s="22"/>
      <c r="D27" s="22"/>
      <c r="E27" s="22"/>
      <c r="F27" s="8"/>
      <c r="G27" s="8"/>
      <c r="H27" s="8"/>
      <c r="I27" s="8"/>
      <c r="J27" s="8"/>
      <c r="L27" s="11"/>
    </row>
    <row r="28" spans="2:12" x14ac:dyDescent="0.3">
      <c r="B28" s="23" t="s">
        <v>14</v>
      </c>
      <c r="C28" s="23"/>
      <c r="D28" s="23"/>
      <c r="E28" s="23"/>
      <c r="F28" s="23"/>
      <c r="G28" s="23"/>
      <c r="H28" s="23"/>
      <c r="I28" s="23"/>
      <c r="J28" s="23"/>
    </row>
    <row r="29" spans="2:12" x14ac:dyDescent="0.3">
      <c r="B29" s="23"/>
      <c r="C29" s="23"/>
      <c r="D29" s="23"/>
      <c r="E29" s="23"/>
      <c r="F29" s="23"/>
      <c r="G29" s="23"/>
      <c r="H29" s="23"/>
      <c r="I29" s="23"/>
      <c r="J29" s="23"/>
    </row>
    <row r="30" spans="2:12" x14ac:dyDescent="0.3">
      <c r="B30" s="23"/>
      <c r="C30" s="23"/>
      <c r="D30" s="23"/>
      <c r="E30" s="23"/>
      <c r="F30" s="23"/>
      <c r="G30" s="23"/>
      <c r="H30" s="23"/>
      <c r="I30" s="23"/>
      <c r="J30" s="23"/>
    </row>
    <row r="33" spans="2:10" ht="14.15" customHeight="1" x14ac:dyDescent="0.3">
      <c r="B33" s="24" t="s">
        <v>15</v>
      </c>
      <c r="C33" s="24"/>
      <c r="D33" s="24"/>
      <c r="E33" s="24"/>
      <c r="F33" s="24"/>
      <c r="G33" s="24"/>
      <c r="H33" s="24"/>
      <c r="I33" s="24"/>
      <c r="J33" s="24"/>
    </row>
    <row r="34" spans="2:10" ht="14.15" customHeight="1" x14ac:dyDescent="0.3">
      <c r="B34" s="24"/>
      <c r="C34" s="24"/>
      <c r="D34" s="24"/>
      <c r="E34" s="24"/>
      <c r="F34" s="24"/>
      <c r="G34" s="24"/>
      <c r="H34" s="24"/>
      <c r="I34" s="24"/>
      <c r="J34" s="24"/>
    </row>
    <row r="35" spans="2:10" x14ac:dyDescent="0.3">
      <c r="B35" s="24"/>
      <c r="C35" s="24"/>
      <c r="D35" s="24"/>
      <c r="E35" s="24"/>
      <c r="F35" s="24"/>
      <c r="G35" s="24"/>
      <c r="H35" s="24"/>
      <c r="I35" s="24"/>
      <c r="J35" s="24"/>
    </row>
    <row r="36" spans="2:10" x14ac:dyDescent="0.3">
      <c r="B36" s="24"/>
      <c r="C36" s="24"/>
      <c r="D36" s="24"/>
      <c r="E36" s="24"/>
      <c r="F36" s="24"/>
      <c r="G36" s="24"/>
      <c r="H36" s="24"/>
      <c r="I36" s="24"/>
      <c r="J36" s="24"/>
    </row>
    <row r="37" spans="2:10" ht="15.5" x14ac:dyDescent="0.35">
      <c r="B37" s="8"/>
      <c r="C37" s="8"/>
      <c r="D37" s="8"/>
      <c r="E37" s="8"/>
      <c r="F37" s="8"/>
      <c r="G37" s="8"/>
      <c r="H37" s="8"/>
      <c r="I37" s="8"/>
      <c r="J37" s="8"/>
    </row>
    <row r="38" spans="2:10" ht="15.5" x14ac:dyDescent="0.35">
      <c r="B38" s="8"/>
      <c r="C38" s="8"/>
      <c r="D38" s="8"/>
      <c r="E38" s="8"/>
      <c r="F38" s="8"/>
      <c r="G38" s="8"/>
      <c r="H38" s="8"/>
      <c r="I38" s="8"/>
      <c r="J38" s="8"/>
    </row>
  </sheetData>
  <mergeCells count="34">
    <mergeCell ref="B28:J30"/>
    <mergeCell ref="B33:J34"/>
    <mergeCell ref="B35:J36"/>
    <mergeCell ref="C16:E16"/>
    <mergeCell ref="C12:E12"/>
    <mergeCell ref="C13:E13"/>
    <mergeCell ref="C14:E14"/>
    <mergeCell ref="C15:E15"/>
    <mergeCell ref="C17:E17"/>
    <mergeCell ref="C21:I21"/>
    <mergeCell ref="C23:J23"/>
    <mergeCell ref="C24:E24"/>
    <mergeCell ref="C25:E25"/>
    <mergeCell ref="C26:E26"/>
    <mergeCell ref="C27:E27"/>
    <mergeCell ref="C20:I20"/>
    <mergeCell ref="B9:J9"/>
    <mergeCell ref="C10:E10"/>
    <mergeCell ref="C11:J11"/>
    <mergeCell ref="C18:E18"/>
    <mergeCell ref="C19:I19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6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2025-05-22T09:25:41Z</cp:lastPrinted>
  <dcterms:created xsi:type="dcterms:W3CDTF">2017-06-28T08:31:23Z</dcterms:created>
  <dcterms:modified xsi:type="dcterms:W3CDTF">2025-11-28T12:21:28Z</dcterms:modified>
</cp:coreProperties>
</file>