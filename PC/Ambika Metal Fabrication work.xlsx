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35CF26C5-5387-404C-9197-95B74C4315DC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1" sheetId="21" r:id="rId1"/>
    <sheet name="2" sheetId="22" r:id="rId2"/>
    <sheet name="3" sheetId="23" r:id="rId3"/>
    <sheet name="4" sheetId="24" r:id="rId4"/>
    <sheet name="5" sheetId="25" r:id="rId5"/>
    <sheet name="6" sheetId="2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26" l="1"/>
  <c r="J11" i="26"/>
  <c r="J12" i="26"/>
  <c r="M12" i="21"/>
  <c r="M12" i="24"/>
  <c r="M11" i="24"/>
  <c r="L11" i="22"/>
  <c r="L11" i="24"/>
  <c r="L14" i="22"/>
  <c r="J11" i="25"/>
  <c r="J12" i="25" s="1"/>
  <c r="O12" i="24"/>
  <c r="J11" i="24"/>
  <c r="G14" i="23"/>
  <c r="J14" i="23"/>
  <c r="G16" i="23"/>
  <c r="O17" i="23" s="1"/>
  <c r="G15" i="23"/>
  <c r="J15" i="23" s="1"/>
  <c r="G13" i="23"/>
  <c r="J13" i="23" s="1"/>
  <c r="G12" i="23"/>
  <c r="J12" i="23" s="1"/>
  <c r="G11" i="23"/>
  <c r="J11" i="23" s="1"/>
  <c r="J14" i="26" l="1"/>
  <c r="J15" i="26"/>
  <c r="J13" i="25"/>
  <c r="J14" i="25"/>
  <c r="J16" i="25" s="1"/>
  <c r="J20" i="25" s="1"/>
  <c r="J12" i="24"/>
  <c r="J16" i="23"/>
  <c r="J17" i="23" s="1"/>
  <c r="G15" i="22"/>
  <c r="G14" i="22"/>
  <c r="J14" i="22"/>
  <c r="G13" i="22"/>
  <c r="J13" i="22" s="1"/>
  <c r="O16" i="22"/>
  <c r="G12" i="22"/>
  <c r="J12" i="22" s="1"/>
  <c r="G11" i="22"/>
  <c r="J11" i="22" s="1"/>
  <c r="J15" i="22"/>
  <c r="O12" i="21"/>
  <c r="J17" i="26" l="1"/>
  <c r="J21" i="26" s="1"/>
  <c r="J14" i="24"/>
  <c r="J13" i="24"/>
  <c r="J18" i="23"/>
  <c r="J19" i="23"/>
  <c r="J16" i="22"/>
  <c r="J18" i="22"/>
  <c r="J17" i="22"/>
  <c r="J11" i="21"/>
  <c r="J16" i="24" l="1"/>
  <c r="J20" i="24" s="1"/>
  <c r="J21" i="23"/>
  <c r="J25" i="23" s="1"/>
  <c r="J20" i="22"/>
  <c r="J24" i="22" s="1"/>
  <c r="J12" i="21"/>
  <c r="J14" i="21" l="1"/>
  <c r="J16" i="21" s="1"/>
  <c r="J20" i="21" s="1"/>
  <c r="J13" i="21"/>
</calcChain>
</file>

<file path=xl/sharedStrings.xml><?xml version="1.0" encoding="utf-8"?>
<sst xmlns="http://schemas.openxmlformats.org/spreadsheetml/2006/main" count="218" uniqueCount="52">
  <si>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</si>
  <si>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</si>
  <si>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</si>
  <si>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</si>
  <si>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</si>
  <si>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</si>
  <si>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</si>
  <si>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</si>
  <si>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</si>
  <si>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</si>
  <si>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</si>
  <si>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</si>
  <si>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</si>
  <si>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</si>
  <si>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</si>
  <si>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</si>
  <si>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</si>
  <si>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</si>
  <si>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</si>
  <si>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</si>
  <si>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</si>
  <si>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Rate/
Flat</t>
  </si>
  <si>
    <t>Invoice No.</t>
  </si>
  <si>
    <t>Ambika Metal</t>
  </si>
  <si>
    <t>Umeshbhai</t>
  </si>
  <si>
    <t>Fabrication with material work</t>
  </si>
  <si>
    <t>CGST @ 9%</t>
  </si>
  <si>
    <t>SGST @ 9%</t>
  </si>
  <si>
    <t>Nos.</t>
  </si>
  <si>
    <t>Kitchen Angle Supply work</t>
  </si>
  <si>
    <t>Fifty Seven Thousand Six Hundred Three Only</t>
  </si>
  <si>
    <t>R.ft.</t>
  </si>
  <si>
    <t>Balcony Railing (16'-0") (12 Nos.)</t>
  </si>
  <si>
    <t>Balcony Railing (20'-3") (12 Nos.)</t>
  </si>
  <si>
    <t>AC Stand D &amp; E Building (18.10 of 24 Nos.)</t>
  </si>
  <si>
    <t>AC Stand D &amp; E Building (19.65 of 24 Nos.)</t>
  </si>
  <si>
    <t>AC Stand D &amp; E Building (14.25 of 24 Nos.)</t>
  </si>
  <si>
    <t>Eight Lakh Ten Thousand Eight Hundred Ninty Seven Only</t>
  </si>
  <si>
    <t>AC Stand D &amp; E Building (18.10 of 2 Nos.)</t>
  </si>
  <si>
    <t>AC Stand D &amp; E Building (19.65 of 2 Nos.)</t>
  </si>
  <si>
    <t>AC Stand D &amp; E Building (14.25 of 2 Nos.)</t>
  </si>
  <si>
    <t>AC Stand C Building (19.55 of 104 Nos.)</t>
  </si>
  <si>
    <t>Nine Lakh Thirty One Thousand Six Hundred Fifteen Only</t>
  </si>
  <si>
    <t>Balcony Railing (28'-6") (12 Nos.)</t>
  </si>
  <si>
    <t>Five Lakh Four Thousand Four Hundred Fifty Only</t>
  </si>
  <si>
    <t>To, 
Tanvi Infrcon, Revanta Project</t>
  </si>
  <si>
    <t>M.S. Railing for Staircase (Tower D &amp; E)</t>
  </si>
  <si>
    <t>Four Lakh Thirteen Thousand Only</t>
  </si>
  <si>
    <t>M.S. Railing for Staircase (Tower A &amp; B)</t>
  </si>
  <si>
    <t>Trench Frame Basement</t>
  </si>
  <si>
    <t>Kg</t>
  </si>
  <si>
    <t>Four Lakh Seventy Five Thousand Two Hundred Thirty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</si>
</sst>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164" fontId="5" fillId="0" borderId="0" xfId="0" applyNumberFormat="1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165" fontId="4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center" vertical="center"/>
    </xf>
    <xf numFmtId="43" fontId="2" fillId="0" borderId="0" xfId="0" applyNumberFormat="1" applyFont="1"/>
    <xf numFmtId="165" fontId="2" fillId="0" borderId="0" xfId="0" applyNumberFormat="1" applyFont="1"/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32"/>
  <sheetViews>
    <sheetView topLeftCell="A7" zoomScaleNormal="100" workbookViewId="0">
      <selection activeCell="M13" sqref="M13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3" width="11.36328125" style="1" bestFit="1" customWidth="1"/>
    <col min="14" max="16384" width="8.6328125" style="1"/>
  </cols>
  <sheetData>
    <row r="2" spans="2:15" ht="17.5" x14ac:dyDescent="0.35">
      <c r="B2" s="32" t="s">
        <v>0</v>
      </c>
      <c r="C2" s="32"/>
      <c r="D2" s="32"/>
      <c r="E2" s="32"/>
      <c r="F2" s="32"/>
      <c r="G2" s="32"/>
      <c r="H2" s="32"/>
      <c r="I2" s="32"/>
      <c r="J2" s="32"/>
    </row>
    <row r="3" spans="2:15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5" ht="15.65" customHeight="1" x14ac:dyDescent="0.35">
      <c r="B4" s="33" t="s">
        <v>16</v>
      </c>
      <c r="C4" s="33"/>
      <c r="D4" s="27" t="s">
        <v>23</v>
      </c>
      <c r="E4" s="27"/>
      <c r="F4" s="27"/>
      <c r="G4" s="27"/>
      <c r="H4" s="34" t="s">
        <v>22</v>
      </c>
      <c r="I4" s="34"/>
      <c r="J4" s="8">
        <v>22</v>
      </c>
    </row>
    <row r="5" spans="2:15" ht="18.899999999999999" customHeight="1" x14ac:dyDescent="0.3">
      <c r="B5" s="26" t="s">
        <v>1</v>
      </c>
      <c r="C5" s="26"/>
      <c r="D5" s="29" t="s">
        <v>24</v>
      </c>
      <c r="E5" s="29"/>
      <c r="F5" s="29"/>
      <c r="G5" s="29"/>
      <c r="H5" s="29"/>
      <c r="I5" s="29"/>
      <c r="J5" s="29"/>
    </row>
    <row r="6" spans="2:15" ht="30.9" customHeight="1" x14ac:dyDescent="0.35">
      <c r="B6" s="35" t="s">
        <v>45</v>
      </c>
      <c r="C6" s="35"/>
      <c r="D6" s="35"/>
      <c r="E6" s="35"/>
      <c r="F6" s="35"/>
      <c r="G6" s="35"/>
      <c r="H6" s="10" t="s">
        <v>2</v>
      </c>
      <c r="I6" s="36">
        <v>45311</v>
      </c>
      <c r="J6" s="37"/>
    </row>
    <row r="7" spans="2:15" ht="20.149999999999999" customHeight="1" x14ac:dyDescent="0.3">
      <c r="B7" s="38" t="s">
        <v>3</v>
      </c>
      <c r="C7" s="38"/>
      <c r="D7" s="31" t="s">
        <v>25</v>
      </c>
      <c r="E7" s="31"/>
      <c r="F7" s="31"/>
      <c r="G7" s="31"/>
      <c r="H7" s="3" t="s">
        <v>17</v>
      </c>
      <c r="I7" s="36">
        <v>45304</v>
      </c>
      <c r="J7" s="37"/>
    </row>
    <row r="8" spans="2:15" ht="18.899999999999999" customHeight="1" x14ac:dyDescent="0.3">
      <c r="B8" s="26" t="s">
        <v>5</v>
      </c>
      <c r="C8" s="26"/>
      <c r="D8" s="29" t="s">
        <v>25</v>
      </c>
      <c r="E8" s="29"/>
      <c r="F8" s="29"/>
      <c r="G8" s="29"/>
      <c r="H8" s="29"/>
      <c r="I8" s="29"/>
      <c r="J8" s="29"/>
    </row>
    <row r="9" spans="2:15" ht="20.399999999999999" customHeight="1" x14ac:dyDescent="0.3">
      <c r="B9" s="26" t="s">
        <v>4</v>
      </c>
      <c r="C9" s="26"/>
      <c r="D9" s="26"/>
      <c r="E9" s="26"/>
      <c r="F9" s="26"/>
      <c r="G9" s="26"/>
      <c r="H9" s="26"/>
      <c r="I9" s="26"/>
      <c r="J9" s="26"/>
    </row>
    <row r="10" spans="2:15" ht="30" x14ac:dyDescent="0.3">
      <c r="B10" s="2" t="s">
        <v>11</v>
      </c>
      <c r="C10" s="30" t="s">
        <v>6</v>
      </c>
      <c r="D10" s="30"/>
      <c r="E10" s="30"/>
      <c r="F10" s="3" t="s">
        <v>7</v>
      </c>
      <c r="G10" s="16" t="s">
        <v>8</v>
      </c>
      <c r="H10" s="16" t="s">
        <v>9</v>
      </c>
      <c r="I10" s="2" t="s">
        <v>21</v>
      </c>
      <c r="J10" s="13" t="s">
        <v>10</v>
      </c>
      <c r="L10" s="22"/>
    </row>
    <row r="11" spans="2:15" ht="33.9" customHeight="1" x14ac:dyDescent="0.3">
      <c r="B11" s="4">
        <v>1</v>
      </c>
      <c r="C11" s="31" t="s">
        <v>29</v>
      </c>
      <c r="D11" s="31"/>
      <c r="E11" s="31"/>
      <c r="F11" s="5">
        <v>1</v>
      </c>
      <c r="G11" s="17">
        <v>144</v>
      </c>
      <c r="H11" s="4" t="s">
        <v>28</v>
      </c>
      <c r="I11" s="18">
        <v>339</v>
      </c>
      <c r="J11" s="6">
        <f>F11*I11*G11</f>
        <v>48816</v>
      </c>
    </row>
    <row r="12" spans="2:15" ht="17.399999999999999" customHeight="1" x14ac:dyDescent="0.35">
      <c r="B12" s="14"/>
      <c r="C12" s="24" t="s">
        <v>18</v>
      </c>
      <c r="D12" s="24"/>
      <c r="E12" s="24"/>
      <c r="F12" s="24"/>
      <c r="G12" s="24"/>
      <c r="H12" s="24"/>
      <c r="I12" s="24"/>
      <c r="J12" s="7">
        <f>SUM(J11:J11)</f>
        <v>48816</v>
      </c>
      <c r="M12" s="22">
        <f>J12+'2'!J13+'2'!J14+'2'!J15+'3'!J13+'3'!J14+'3'!J15+'3'!J16</f>
        <v>438021.12600000005</v>
      </c>
      <c r="O12" s="1" t="e">
        <f>G11+#REF!+#REF!+#REF!+#REF!+#REF!+#REF!+#REF!</f>
        <v>#REF!</v>
      </c>
    </row>
    <row r="13" spans="2:15" ht="17.399999999999999" customHeight="1" x14ac:dyDescent="0.35">
      <c r="B13" s="14"/>
      <c r="C13" s="25" t="s">
        <v>26</v>
      </c>
      <c r="D13" s="25"/>
      <c r="E13" s="25"/>
      <c r="F13" s="25"/>
      <c r="G13" s="25"/>
      <c r="H13" s="25"/>
      <c r="I13" s="25"/>
      <c r="J13" s="7">
        <f>J12*9%</f>
        <v>4393.4399999999996</v>
      </c>
    </row>
    <row r="14" spans="2:15" ht="17.399999999999999" customHeight="1" x14ac:dyDescent="0.35">
      <c r="B14" s="14"/>
      <c r="C14" s="25" t="s">
        <v>27</v>
      </c>
      <c r="D14" s="25"/>
      <c r="E14" s="25"/>
      <c r="F14" s="25"/>
      <c r="G14" s="25"/>
      <c r="H14" s="25"/>
      <c r="I14" s="25"/>
      <c r="J14" s="7">
        <f>J12*9%</f>
        <v>4393.4399999999996</v>
      </c>
    </row>
    <row r="15" spans="2:15" ht="17.399999999999999" customHeight="1" x14ac:dyDescent="0.35">
      <c r="B15" s="14"/>
      <c r="C15" s="25"/>
      <c r="D15" s="25"/>
      <c r="E15" s="25"/>
      <c r="F15" s="25"/>
      <c r="G15" s="25"/>
      <c r="H15" s="25"/>
      <c r="I15" s="25"/>
      <c r="J15" s="7"/>
    </row>
    <row r="16" spans="2:15" ht="17.399999999999999" customHeight="1" x14ac:dyDescent="0.35">
      <c r="B16" s="14"/>
      <c r="C16" s="13"/>
      <c r="D16" s="13"/>
      <c r="E16" s="13"/>
      <c r="F16" s="13"/>
      <c r="G16" s="13"/>
      <c r="H16" s="13"/>
      <c r="I16" s="13"/>
      <c r="J16" s="19">
        <f>J12+J14+J13</f>
        <v>57602.880000000005</v>
      </c>
    </row>
    <row r="17" spans="2:12" ht="15.5" x14ac:dyDescent="0.35">
      <c r="B17" s="8"/>
      <c r="C17" s="28" t="s">
        <v>30</v>
      </c>
      <c r="D17" s="28"/>
      <c r="E17" s="28"/>
      <c r="F17" s="28"/>
      <c r="G17" s="28"/>
      <c r="H17" s="28"/>
      <c r="I17" s="28"/>
      <c r="J17" s="28"/>
    </row>
    <row r="18" spans="2:12" ht="15.5" x14ac:dyDescent="0.35">
      <c r="B18" s="14"/>
      <c r="C18" s="27" t="s">
        <v>12</v>
      </c>
      <c r="D18" s="27"/>
      <c r="E18" s="27"/>
      <c r="F18" s="8"/>
      <c r="G18" s="8"/>
      <c r="H18" s="8"/>
      <c r="I18" s="8"/>
      <c r="J18" s="9">
        <v>0</v>
      </c>
    </row>
    <row r="19" spans="2:12" ht="15.5" x14ac:dyDescent="0.35">
      <c r="B19" s="14"/>
      <c r="C19" s="27" t="s">
        <v>20</v>
      </c>
      <c r="D19" s="27"/>
      <c r="E19" s="27"/>
      <c r="F19" s="8"/>
      <c r="G19" s="8"/>
      <c r="H19" s="8"/>
      <c r="I19" s="8"/>
      <c r="J19" s="9">
        <v>0</v>
      </c>
    </row>
    <row r="20" spans="2:12" ht="15.5" x14ac:dyDescent="0.35">
      <c r="B20" s="14"/>
      <c r="C20" s="27" t="s">
        <v>13</v>
      </c>
      <c r="D20" s="27"/>
      <c r="E20" s="27"/>
      <c r="F20" s="8"/>
      <c r="G20" s="8" t="s">
        <v>19</v>
      </c>
      <c r="H20" s="8"/>
      <c r="I20" s="8"/>
      <c r="J20" s="15">
        <f>J16</f>
        <v>57602.880000000005</v>
      </c>
    </row>
    <row r="21" spans="2:12" ht="15.5" x14ac:dyDescent="0.35">
      <c r="B21" s="8"/>
      <c r="C21" s="27"/>
      <c r="D21" s="27"/>
      <c r="E21" s="27"/>
      <c r="F21" s="8"/>
      <c r="G21" s="8"/>
      <c r="H21" s="8"/>
      <c r="I21" s="8"/>
      <c r="J21" s="8"/>
      <c r="L21" s="11"/>
    </row>
    <row r="22" spans="2:12" x14ac:dyDescent="0.3">
      <c r="B22" s="29" t="s">
        <v>14</v>
      </c>
      <c r="C22" s="29"/>
      <c r="D22" s="29"/>
      <c r="E22" s="29"/>
      <c r="F22" s="29"/>
      <c r="G22" s="29"/>
      <c r="H22" s="29"/>
      <c r="I22" s="29"/>
      <c r="J22" s="29"/>
    </row>
    <row r="23" spans="2:12" x14ac:dyDescent="0.3">
      <c r="B23" s="29"/>
      <c r="C23" s="29"/>
      <c r="D23" s="29"/>
      <c r="E23" s="29"/>
      <c r="F23" s="29"/>
      <c r="G23" s="29"/>
      <c r="H23" s="29"/>
      <c r="I23" s="29"/>
      <c r="J23" s="29"/>
    </row>
    <row r="24" spans="2:12" x14ac:dyDescent="0.3">
      <c r="B24" s="29"/>
      <c r="C24" s="29"/>
      <c r="D24" s="29"/>
      <c r="E24" s="29"/>
      <c r="F24" s="29"/>
      <c r="G24" s="29"/>
      <c r="H24" s="29"/>
      <c r="I24" s="29"/>
      <c r="J24" s="29"/>
    </row>
    <row r="27" spans="2:12" ht="14.15" customHeight="1" x14ac:dyDescent="0.3">
      <c r="B27" s="26" t="s">
        <v>15</v>
      </c>
      <c r="C27" s="26"/>
      <c r="D27" s="26"/>
      <c r="E27" s="26"/>
      <c r="F27" s="26"/>
      <c r="G27" s="26"/>
      <c r="H27" s="26"/>
      <c r="I27" s="26"/>
      <c r="J27" s="26"/>
    </row>
    <row r="28" spans="2:12" ht="14.15" customHeight="1" x14ac:dyDescent="0.3">
      <c r="B28" s="26"/>
      <c r="C28" s="26"/>
      <c r="D28" s="26"/>
      <c r="E28" s="26"/>
      <c r="F28" s="26"/>
      <c r="G28" s="26"/>
      <c r="H28" s="26"/>
      <c r="I28" s="26"/>
      <c r="J28" s="26"/>
    </row>
    <row r="29" spans="2:12" x14ac:dyDescent="0.3">
      <c r="B29" s="26"/>
      <c r="C29" s="26"/>
      <c r="D29" s="26"/>
      <c r="E29" s="26"/>
      <c r="F29" s="26"/>
      <c r="G29" s="26"/>
      <c r="H29" s="26"/>
      <c r="I29" s="26"/>
      <c r="J29" s="26"/>
    </row>
    <row r="30" spans="2:12" x14ac:dyDescent="0.3">
      <c r="B30" s="26"/>
      <c r="C30" s="26"/>
      <c r="D30" s="26"/>
      <c r="E30" s="26"/>
      <c r="F30" s="26"/>
      <c r="G30" s="26"/>
      <c r="H30" s="26"/>
      <c r="I30" s="26"/>
      <c r="J30" s="26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</sheetData>
  <mergeCells count="28">
    <mergeCell ref="B6:G6"/>
    <mergeCell ref="I6:J6"/>
    <mergeCell ref="B7:C7"/>
    <mergeCell ref="D7:G7"/>
    <mergeCell ref="I7:J7"/>
    <mergeCell ref="B2:J2"/>
    <mergeCell ref="B4:C4"/>
    <mergeCell ref="D4:G4"/>
    <mergeCell ref="H4:I4"/>
    <mergeCell ref="B5:C5"/>
    <mergeCell ref="D5:J5"/>
    <mergeCell ref="B8:C8"/>
    <mergeCell ref="D8:J8"/>
    <mergeCell ref="B9:J9"/>
    <mergeCell ref="C10:E10"/>
    <mergeCell ref="C11:E11"/>
    <mergeCell ref="C12:I12"/>
    <mergeCell ref="C13:I13"/>
    <mergeCell ref="B29:J30"/>
    <mergeCell ref="C18:E18"/>
    <mergeCell ref="C19:E19"/>
    <mergeCell ref="C20:E20"/>
    <mergeCell ref="C14:I14"/>
    <mergeCell ref="C15:I15"/>
    <mergeCell ref="C17:J17"/>
    <mergeCell ref="C21:E21"/>
    <mergeCell ref="B22:J24"/>
    <mergeCell ref="B27:J28"/>
  </mergeCells>
  <pageMargins left="0.7" right="0.7" top="0.75" bottom="0.75" header="0.3" footer="0.3"/>
  <pageSetup paperSize="9"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49781-991F-4481-AD56-BAB39BB6EF09}">
  <sheetPr>
    <pageSetUpPr fitToPage="1"/>
  </sheetPr>
  <dimension ref="B2:O36"/>
  <sheetViews>
    <sheetView topLeftCell="A7" zoomScaleNormal="100" workbookViewId="0">
      <selection activeCell="J13" sqref="J13:J15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5" ht="17.5" x14ac:dyDescent="0.35">
      <c r="B2" s="32" t="s">
        <v>0</v>
      </c>
      <c r="C2" s="32"/>
      <c r="D2" s="32"/>
      <c r="E2" s="32"/>
      <c r="F2" s="32"/>
      <c r="G2" s="32"/>
      <c r="H2" s="32"/>
      <c r="I2" s="32"/>
      <c r="J2" s="32"/>
    </row>
    <row r="3" spans="2:15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5" ht="15.65" customHeight="1" x14ac:dyDescent="0.35">
      <c r="B4" s="33" t="s">
        <v>16</v>
      </c>
      <c r="C4" s="33"/>
      <c r="D4" s="27" t="s">
        <v>23</v>
      </c>
      <c r="E4" s="27"/>
      <c r="F4" s="27"/>
      <c r="G4" s="27"/>
      <c r="H4" s="34" t="s">
        <v>22</v>
      </c>
      <c r="I4" s="34"/>
      <c r="J4" s="8">
        <v>13</v>
      </c>
    </row>
    <row r="5" spans="2:15" ht="18.899999999999999" customHeight="1" x14ac:dyDescent="0.3">
      <c r="B5" s="26" t="s">
        <v>1</v>
      </c>
      <c r="C5" s="26"/>
      <c r="D5" s="29" t="s">
        <v>24</v>
      </c>
      <c r="E5" s="29"/>
      <c r="F5" s="29"/>
      <c r="G5" s="29"/>
      <c r="H5" s="29"/>
      <c r="I5" s="29"/>
      <c r="J5" s="29"/>
    </row>
    <row r="6" spans="2:15" ht="30.9" customHeight="1" x14ac:dyDescent="0.35">
      <c r="B6" s="35" t="s">
        <v>45</v>
      </c>
      <c r="C6" s="35"/>
      <c r="D6" s="35"/>
      <c r="E6" s="35"/>
      <c r="F6" s="35"/>
      <c r="G6" s="35"/>
      <c r="H6" s="10" t="s">
        <v>2</v>
      </c>
      <c r="I6" s="36">
        <v>45562</v>
      </c>
      <c r="J6" s="37"/>
    </row>
    <row r="7" spans="2:15" ht="20.149999999999999" customHeight="1" x14ac:dyDescent="0.3">
      <c r="B7" s="38" t="s">
        <v>3</v>
      </c>
      <c r="C7" s="38"/>
      <c r="D7" s="31" t="s">
        <v>25</v>
      </c>
      <c r="E7" s="31"/>
      <c r="F7" s="31"/>
      <c r="G7" s="31"/>
      <c r="H7" s="3" t="s">
        <v>17</v>
      </c>
      <c r="I7" s="36">
        <v>45560</v>
      </c>
      <c r="J7" s="37"/>
    </row>
    <row r="8" spans="2:15" ht="18.899999999999999" customHeight="1" x14ac:dyDescent="0.3">
      <c r="B8" s="26" t="s">
        <v>5</v>
      </c>
      <c r="C8" s="26"/>
      <c r="D8" s="29" t="s">
        <v>25</v>
      </c>
      <c r="E8" s="29"/>
      <c r="F8" s="29"/>
      <c r="G8" s="29"/>
      <c r="H8" s="29"/>
      <c r="I8" s="29"/>
      <c r="J8" s="29"/>
    </row>
    <row r="9" spans="2:15" ht="20.399999999999999" customHeight="1" x14ac:dyDescent="0.3">
      <c r="B9" s="26" t="s">
        <v>4</v>
      </c>
      <c r="C9" s="26"/>
      <c r="D9" s="26"/>
      <c r="E9" s="26"/>
      <c r="F9" s="26"/>
      <c r="G9" s="26"/>
      <c r="H9" s="26"/>
      <c r="I9" s="26"/>
      <c r="J9" s="26"/>
    </row>
    <row r="10" spans="2:15" ht="30" x14ac:dyDescent="0.3">
      <c r="B10" s="2" t="s">
        <v>11</v>
      </c>
      <c r="C10" s="30" t="s">
        <v>6</v>
      </c>
      <c r="D10" s="30"/>
      <c r="E10" s="30"/>
      <c r="F10" s="3" t="s">
        <v>7</v>
      </c>
      <c r="G10" s="16" t="s">
        <v>8</v>
      </c>
      <c r="H10" s="16" t="s">
        <v>9</v>
      </c>
      <c r="I10" s="2" t="s">
        <v>21</v>
      </c>
      <c r="J10" s="13" t="s">
        <v>10</v>
      </c>
    </row>
    <row r="11" spans="2:15" ht="33.9" customHeight="1" x14ac:dyDescent="0.3">
      <c r="B11" s="4">
        <v>1</v>
      </c>
      <c r="C11" s="31" t="s">
        <v>32</v>
      </c>
      <c r="D11" s="31"/>
      <c r="E11" s="31"/>
      <c r="F11" s="5">
        <v>1</v>
      </c>
      <c r="G11" s="17">
        <f>12*16</f>
        <v>192</v>
      </c>
      <c r="H11" s="4" t="s">
        <v>31</v>
      </c>
      <c r="I11" s="18">
        <v>1250</v>
      </c>
      <c r="J11" s="20">
        <f>F11*I11*G11</f>
        <v>240000</v>
      </c>
      <c r="L11" s="1">
        <f>G11+'3'!G11+'3'!G12+'2'!G11+'2'!G12</f>
        <v>1062</v>
      </c>
    </row>
    <row r="12" spans="2:15" ht="33.9" customHeight="1" x14ac:dyDescent="0.3">
      <c r="B12" s="4">
        <v>2</v>
      </c>
      <c r="C12" s="31" t="s">
        <v>33</v>
      </c>
      <c r="D12" s="31"/>
      <c r="E12" s="31"/>
      <c r="F12" s="5">
        <v>1</v>
      </c>
      <c r="G12" s="17">
        <f>12*20.25</f>
        <v>243</v>
      </c>
      <c r="H12" s="4" t="s">
        <v>28</v>
      </c>
      <c r="I12" s="18">
        <v>1250</v>
      </c>
      <c r="J12" s="20">
        <f>F12*I12*G12</f>
        <v>303750</v>
      </c>
    </row>
    <row r="13" spans="2:15" ht="33.9" customHeight="1" x14ac:dyDescent="0.3">
      <c r="B13" s="4">
        <v>3</v>
      </c>
      <c r="C13" s="31" t="s">
        <v>34</v>
      </c>
      <c r="D13" s="31"/>
      <c r="E13" s="31"/>
      <c r="F13" s="5">
        <v>1</v>
      </c>
      <c r="G13" s="17">
        <f>18.1*24</f>
        <v>434.40000000000003</v>
      </c>
      <c r="H13" s="4" t="s">
        <v>28</v>
      </c>
      <c r="I13" s="18">
        <v>115</v>
      </c>
      <c r="J13" s="6">
        <f>F13*I13*G13</f>
        <v>49956.000000000007</v>
      </c>
    </row>
    <row r="14" spans="2:15" ht="33.9" customHeight="1" x14ac:dyDescent="0.3">
      <c r="B14" s="4">
        <v>4</v>
      </c>
      <c r="C14" s="31" t="s">
        <v>35</v>
      </c>
      <c r="D14" s="31"/>
      <c r="E14" s="31"/>
      <c r="F14" s="5">
        <v>1</v>
      </c>
      <c r="G14" s="17">
        <f>19.625*24</f>
        <v>471</v>
      </c>
      <c r="H14" s="4" t="s">
        <v>28</v>
      </c>
      <c r="I14" s="18">
        <v>115</v>
      </c>
      <c r="J14" s="6">
        <f>F14*I14*G14</f>
        <v>54165</v>
      </c>
      <c r="L14" s="1">
        <f>SUM(G13:G15)+'3'!G13+'3'!G14+'3'!G15</f>
        <v>1351.39</v>
      </c>
    </row>
    <row r="15" spans="2:15" ht="33.9" customHeight="1" x14ac:dyDescent="0.3">
      <c r="B15" s="4">
        <v>5</v>
      </c>
      <c r="C15" s="31" t="s">
        <v>36</v>
      </c>
      <c r="D15" s="31"/>
      <c r="E15" s="31"/>
      <c r="F15" s="5">
        <v>1</v>
      </c>
      <c r="G15" s="17">
        <f>14.25*24</f>
        <v>342</v>
      </c>
      <c r="H15" s="4" t="s">
        <v>28</v>
      </c>
      <c r="I15" s="18">
        <v>115</v>
      </c>
      <c r="J15" s="6">
        <f>F15*I15*G15</f>
        <v>39330</v>
      </c>
    </row>
    <row r="16" spans="2:15" ht="17.399999999999999" customHeight="1" x14ac:dyDescent="0.35">
      <c r="B16" s="14"/>
      <c r="C16" s="24" t="s">
        <v>18</v>
      </c>
      <c r="D16" s="24"/>
      <c r="E16" s="24"/>
      <c r="F16" s="24"/>
      <c r="G16" s="24"/>
      <c r="H16" s="24"/>
      <c r="I16" s="24"/>
      <c r="J16" s="7">
        <f>SUM(J11:J15)</f>
        <v>687201</v>
      </c>
      <c r="O16" s="1" t="e">
        <f>G15+#REF!+#REF!+#REF!+#REF!+#REF!+#REF!+#REF!</f>
        <v>#REF!</v>
      </c>
    </row>
    <row r="17" spans="2:12" ht="17.399999999999999" customHeight="1" x14ac:dyDescent="0.35">
      <c r="B17" s="14"/>
      <c r="C17" s="25" t="s">
        <v>26</v>
      </c>
      <c r="D17" s="25"/>
      <c r="E17" s="25"/>
      <c r="F17" s="25"/>
      <c r="G17" s="25"/>
      <c r="H17" s="25"/>
      <c r="I17" s="25"/>
      <c r="J17" s="7">
        <f>J16*9%</f>
        <v>61848.09</v>
      </c>
    </row>
    <row r="18" spans="2:12" ht="17.399999999999999" customHeight="1" x14ac:dyDescent="0.35">
      <c r="B18" s="14"/>
      <c r="C18" s="25" t="s">
        <v>27</v>
      </c>
      <c r="D18" s="25"/>
      <c r="E18" s="25"/>
      <c r="F18" s="25"/>
      <c r="G18" s="25"/>
      <c r="H18" s="25"/>
      <c r="I18" s="25"/>
      <c r="J18" s="7">
        <f>J16*9%</f>
        <v>61848.09</v>
      </c>
    </row>
    <row r="19" spans="2:12" ht="17.399999999999999" customHeight="1" x14ac:dyDescent="0.35">
      <c r="B19" s="14"/>
      <c r="C19" s="25"/>
      <c r="D19" s="25"/>
      <c r="E19" s="25"/>
      <c r="F19" s="25"/>
      <c r="G19" s="25"/>
      <c r="H19" s="25"/>
      <c r="I19" s="25"/>
      <c r="J19" s="7"/>
    </row>
    <row r="20" spans="2:12" ht="17.399999999999999" customHeight="1" x14ac:dyDescent="0.35">
      <c r="B20" s="14"/>
      <c r="C20" s="13"/>
      <c r="D20" s="13"/>
      <c r="E20" s="13"/>
      <c r="F20" s="13"/>
      <c r="G20" s="13"/>
      <c r="H20" s="13"/>
      <c r="I20" s="13"/>
      <c r="J20" s="19">
        <f>J16+J18+J17</f>
        <v>810897.17999999993</v>
      </c>
    </row>
    <row r="21" spans="2:12" ht="15.5" x14ac:dyDescent="0.35">
      <c r="B21" s="8"/>
      <c r="C21" s="28" t="s">
        <v>37</v>
      </c>
      <c r="D21" s="28"/>
      <c r="E21" s="28"/>
      <c r="F21" s="28"/>
      <c r="G21" s="28"/>
      <c r="H21" s="28"/>
      <c r="I21" s="28"/>
      <c r="J21" s="28"/>
    </row>
    <row r="22" spans="2:12" ht="15.5" x14ac:dyDescent="0.35">
      <c r="B22" s="14"/>
      <c r="C22" s="27" t="s">
        <v>12</v>
      </c>
      <c r="D22" s="27"/>
      <c r="E22" s="27"/>
      <c r="F22" s="8"/>
      <c r="G22" s="8"/>
      <c r="H22" s="8"/>
      <c r="I22" s="8"/>
      <c r="J22" s="9">
        <v>0</v>
      </c>
    </row>
    <row r="23" spans="2:12" ht="15.5" x14ac:dyDescent="0.35">
      <c r="B23" s="14"/>
      <c r="C23" s="27" t="s">
        <v>20</v>
      </c>
      <c r="D23" s="27"/>
      <c r="E23" s="27"/>
      <c r="F23" s="8"/>
      <c r="G23" s="8"/>
      <c r="H23" s="8"/>
      <c r="I23" s="8"/>
      <c r="J23" s="9">
        <v>0</v>
      </c>
    </row>
    <row r="24" spans="2:12" ht="15.5" x14ac:dyDescent="0.35">
      <c r="B24" s="14"/>
      <c r="C24" s="27" t="s">
        <v>13</v>
      </c>
      <c r="D24" s="27"/>
      <c r="E24" s="27"/>
      <c r="F24" s="8"/>
      <c r="G24" s="8" t="s">
        <v>19</v>
      </c>
      <c r="H24" s="8"/>
      <c r="I24" s="8"/>
      <c r="J24" s="15">
        <f>J20</f>
        <v>810897.17999999993</v>
      </c>
    </row>
    <row r="25" spans="2:12" ht="15.5" x14ac:dyDescent="0.35">
      <c r="B25" s="8"/>
      <c r="C25" s="27"/>
      <c r="D25" s="27"/>
      <c r="E25" s="27"/>
      <c r="F25" s="8"/>
      <c r="G25" s="8"/>
      <c r="H25" s="8"/>
      <c r="I25" s="8"/>
      <c r="J25" s="8"/>
      <c r="L25" s="11"/>
    </row>
    <row r="26" spans="2:12" x14ac:dyDescent="0.3">
      <c r="B26" s="29" t="s">
        <v>14</v>
      </c>
      <c r="C26" s="29"/>
      <c r="D26" s="29"/>
      <c r="E26" s="29"/>
      <c r="F26" s="29"/>
      <c r="G26" s="29"/>
      <c r="H26" s="29"/>
      <c r="I26" s="29"/>
      <c r="J26" s="29"/>
    </row>
    <row r="27" spans="2:12" x14ac:dyDescent="0.3">
      <c r="B27" s="29"/>
      <c r="C27" s="29"/>
      <c r="D27" s="29"/>
      <c r="E27" s="29"/>
      <c r="F27" s="29"/>
      <c r="G27" s="29"/>
      <c r="H27" s="29"/>
      <c r="I27" s="29"/>
      <c r="J27" s="29"/>
    </row>
    <row r="28" spans="2:12" x14ac:dyDescent="0.3">
      <c r="B28" s="29"/>
      <c r="C28" s="29"/>
      <c r="D28" s="29"/>
      <c r="E28" s="29"/>
      <c r="F28" s="29"/>
      <c r="G28" s="29"/>
      <c r="H28" s="29"/>
      <c r="I28" s="29"/>
      <c r="J28" s="29"/>
    </row>
    <row r="31" spans="2:12" ht="14.15" customHeight="1" x14ac:dyDescent="0.3">
      <c r="B31" s="26" t="s">
        <v>15</v>
      </c>
      <c r="C31" s="26"/>
      <c r="D31" s="26"/>
      <c r="E31" s="26"/>
      <c r="F31" s="26"/>
      <c r="G31" s="26"/>
      <c r="H31" s="26"/>
      <c r="I31" s="26"/>
      <c r="J31" s="26"/>
    </row>
    <row r="32" spans="2:12" ht="14.15" customHeight="1" x14ac:dyDescent="0.3">
      <c r="B32" s="26"/>
      <c r="C32" s="26"/>
      <c r="D32" s="26"/>
      <c r="E32" s="26"/>
      <c r="F32" s="26"/>
      <c r="G32" s="26"/>
      <c r="H32" s="26"/>
      <c r="I32" s="26"/>
      <c r="J32" s="26"/>
    </row>
    <row r="33" spans="2:10" x14ac:dyDescent="0.3">
      <c r="B33" s="26"/>
      <c r="C33" s="26"/>
      <c r="D33" s="26"/>
      <c r="E33" s="26"/>
      <c r="F33" s="26"/>
      <c r="G33" s="26"/>
      <c r="H33" s="26"/>
      <c r="I33" s="26"/>
      <c r="J33" s="26"/>
    </row>
    <row r="34" spans="2:10" x14ac:dyDescent="0.3">
      <c r="B34" s="26"/>
      <c r="C34" s="26"/>
      <c r="D34" s="26"/>
      <c r="E34" s="26"/>
      <c r="F34" s="26"/>
      <c r="G34" s="26"/>
      <c r="H34" s="26"/>
      <c r="I34" s="26"/>
      <c r="J34" s="26"/>
    </row>
    <row r="35" spans="2:10" ht="15.5" x14ac:dyDescent="0.35">
      <c r="B35" s="8"/>
      <c r="C35" s="8"/>
      <c r="D35" s="8"/>
      <c r="E35" s="8"/>
      <c r="F35" s="8"/>
      <c r="G35" s="8"/>
      <c r="H35" s="8"/>
      <c r="I35" s="8"/>
      <c r="J35" s="8"/>
    </row>
    <row r="36" spans="2:10" ht="15.5" x14ac:dyDescent="0.35">
      <c r="B36" s="8"/>
      <c r="C36" s="8"/>
      <c r="D36" s="8"/>
      <c r="E36" s="8"/>
      <c r="F36" s="8"/>
      <c r="G36" s="8"/>
      <c r="H36" s="8"/>
      <c r="I36" s="8"/>
      <c r="J36" s="8"/>
    </row>
  </sheetData>
  <mergeCells count="32">
    <mergeCell ref="B26:J28"/>
    <mergeCell ref="B31:J32"/>
    <mergeCell ref="B33:J34"/>
    <mergeCell ref="C11:E11"/>
    <mergeCell ref="C12:E12"/>
    <mergeCell ref="C13:E13"/>
    <mergeCell ref="C14:E14"/>
    <mergeCell ref="C19:I19"/>
    <mergeCell ref="C21:J21"/>
    <mergeCell ref="C22:E22"/>
    <mergeCell ref="C23:E23"/>
    <mergeCell ref="C24:E24"/>
    <mergeCell ref="C25:E25"/>
    <mergeCell ref="C18:I18"/>
    <mergeCell ref="B9:J9"/>
    <mergeCell ref="C10:E10"/>
    <mergeCell ref="C15:E15"/>
    <mergeCell ref="C16:I16"/>
    <mergeCell ref="C17:I17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BFDE-F08F-4D52-95A6-781EBCDBBF97}">
  <sheetPr>
    <pageSetUpPr fitToPage="1"/>
  </sheetPr>
  <dimension ref="B2:O37"/>
  <sheetViews>
    <sheetView topLeftCell="A10" zoomScaleNormal="100" workbookViewId="0">
      <selection activeCell="J13" sqref="J13:J15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2" t="s">
        <v>0</v>
      </c>
      <c r="C2" s="32"/>
      <c r="D2" s="32"/>
      <c r="E2" s="32"/>
      <c r="F2" s="32"/>
      <c r="G2" s="32"/>
      <c r="H2" s="32"/>
      <c r="I2" s="32"/>
      <c r="J2" s="32"/>
    </row>
    <row r="3" spans="2:10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ht="15.65" customHeight="1" x14ac:dyDescent="0.35">
      <c r="B4" s="33" t="s">
        <v>16</v>
      </c>
      <c r="C4" s="33"/>
      <c r="D4" s="27" t="s">
        <v>23</v>
      </c>
      <c r="E4" s="27"/>
      <c r="F4" s="27"/>
      <c r="G4" s="27"/>
      <c r="H4" s="34" t="s">
        <v>22</v>
      </c>
      <c r="I4" s="34"/>
      <c r="J4" s="8">
        <v>14</v>
      </c>
    </row>
    <row r="5" spans="2:10" ht="18.899999999999999" customHeight="1" x14ac:dyDescent="0.3">
      <c r="B5" s="26" t="s">
        <v>1</v>
      </c>
      <c r="C5" s="26"/>
      <c r="D5" s="29" t="s">
        <v>24</v>
      </c>
      <c r="E5" s="29"/>
      <c r="F5" s="29"/>
      <c r="G5" s="29"/>
      <c r="H5" s="29"/>
      <c r="I5" s="29"/>
      <c r="J5" s="29"/>
    </row>
    <row r="6" spans="2:10" ht="30.9" customHeight="1" x14ac:dyDescent="0.35">
      <c r="B6" s="35" t="s">
        <v>45</v>
      </c>
      <c r="C6" s="35"/>
      <c r="D6" s="35"/>
      <c r="E6" s="35"/>
      <c r="F6" s="35"/>
      <c r="G6" s="35"/>
      <c r="H6" s="10" t="s">
        <v>2</v>
      </c>
      <c r="I6" s="36">
        <v>45562</v>
      </c>
      <c r="J6" s="37"/>
    </row>
    <row r="7" spans="2:10" ht="20.149999999999999" customHeight="1" x14ac:dyDescent="0.3">
      <c r="B7" s="38" t="s">
        <v>3</v>
      </c>
      <c r="C7" s="38"/>
      <c r="D7" s="31" t="s">
        <v>25</v>
      </c>
      <c r="E7" s="31"/>
      <c r="F7" s="31"/>
      <c r="G7" s="31"/>
      <c r="H7" s="3" t="s">
        <v>17</v>
      </c>
      <c r="I7" s="36">
        <v>45562</v>
      </c>
      <c r="J7" s="37"/>
    </row>
    <row r="8" spans="2:10" ht="18.899999999999999" customHeight="1" x14ac:dyDescent="0.3">
      <c r="B8" s="26" t="s">
        <v>5</v>
      </c>
      <c r="C8" s="26"/>
      <c r="D8" s="29" t="s">
        <v>25</v>
      </c>
      <c r="E8" s="29"/>
      <c r="F8" s="29"/>
      <c r="G8" s="29"/>
      <c r="H8" s="29"/>
      <c r="I8" s="29"/>
      <c r="J8" s="29"/>
    </row>
    <row r="9" spans="2:10" ht="20.399999999999999" customHeight="1" x14ac:dyDescent="0.3">
      <c r="B9" s="26" t="s">
        <v>4</v>
      </c>
      <c r="C9" s="26"/>
      <c r="D9" s="26"/>
      <c r="E9" s="26"/>
      <c r="F9" s="26"/>
      <c r="G9" s="26"/>
      <c r="H9" s="26"/>
      <c r="I9" s="26"/>
      <c r="J9" s="26"/>
    </row>
    <row r="10" spans="2:10" ht="30" x14ac:dyDescent="0.3">
      <c r="B10" s="2" t="s">
        <v>11</v>
      </c>
      <c r="C10" s="30" t="s">
        <v>6</v>
      </c>
      <c r="D10" s="30"/>
      <c r="E10" s="30"/>
      <c r="F10" s="3" t="s">
        <v>7</v>
      </c>
      <c r="G10" s="16" t="s">
        <v>8</v>
      </c>
      <c r="H10" s="16" t="s">
        <v>9</v>
      </c>
      <c r="I10" s="2" t="s">
        <v>21</v>
      </c>
      <c r="J10" s="13" t="s">
        <v>10</v>
      </c>
    </row>
    <row r="11" spans="2:10" ht="33.9" customHeight="1" x14ac:dyDescent="0.3">
      <c r="B11" s="4">
        <v>1</v>
      </c>
      <c r="C11" s="31" t="s">
        <v>32</v>
      </c>
      <c r="D11" s="31"/>
      <c r="E11" s="31"/>
      <c r="F11" s="5">
        <v>1</v>
      </c>
      <c r="G11" s="17">
        <f>12*16</f>
        <v>192</v>
      </c>
      <c r="H11" s="4" t="s">
        <v>31</v>
      </c>
      <c r="I11" s="18">
        <v>1250</v>
      </c>
      <c r="J11" s="20">
        <f t="shared" ref="J11:J16" si="0">F11*I11*G11</f>
        <v>240000</v>
      </c>
    </row>
    <row r="12" spans="2:10" ht="33.9" customHeight="1" x14ac:dyDescent="0.3">
      <c r="B12" s="4">
        <v>2</v>
      </c>
      <c r="C12" s="31" t="s">
        <v>33</v>
      </c>
      <c r="D12" s="31"/>
      <c r="E12" s="31"/>
      <c r="F12" s="5">
        <v>1</v>
      </c>
      <c r="G12" s="17">
        <f>12*20.25</f>
        <v>243</v>
      </c>
      <c r="H12" s="4" t="s">
        <v>28</v>
      </c>
      <c r="I12" s="18">
        <v>1250</v>
      </c>
      <c r="J12" s="20">
        <f t="shared" si="0"/>
        <v>303750</v>
      </c>
    </row>
    <row r="13" spans="2:10" ht="33.9" customHeight="1" x14ac:dyDescent="0.3">
      <c r="B13" s="4">
        <v>3</v>
      </c>
      <c r="C13" s="31" t="s">
        <v>38</v>
      </c>
      <c r="D13" s="31"/>
      <c r="E13" s="31"/>
      <c r="F13" s="5">
        <v>1</v>
      </c>
      <c r="G13" s="17">
        <f>18.1*2</f>
        <v>36.200000000000003</v>
      </c>
      <c r="H13" s="4" t="s">
        <v>28</v>
      </c>
      <c r="I13" s="18">
        <v>115</v>
      </c>
      <c r="J13" s="20">
        <f t="shared" si="0"/>
        <v>4163</v>
      </c>
    </row>
    <row r="14" spans="2:10" ht="33.9" customHeight="1" x14ac:dyDescent="0.3">
      <c r="B14" s="4">
        <v>4</v>
      </c>
      <c r="C14" s="31" t="s">
        <v>39</v>
      </c>
      <c r="D14" s="31"/>
      <c r="E14" s="31"/>
      <c r="F14" s="5">
        <v>1</v>
      </c>
      <c r="G14" s="17">
        <f>19.645*2</f>
        <v>39.29</v>
      </c>
      <c r="H14" s="4" t="s">
        <v>28</v>
      </c>
      <c r="I14" s="18">
        <v>115</v>
      </c>
      <c r="J14" s="20">
        <f t="shared" si="0"/>
        <v>4518.3499999999995</v>
      </c>
    </row>
    <row r="15" spans="2:10" ht="33.9" customHeight="1" x14ac:dyDescent="0.3">
      <c r="B15" s="4">
        <v>5</v>
      </c>
      <c r="C15" s="31" t="s">
        <v>40</v>
      </c>
      <c r="D15" s="31"/>
      <c r="E15" s="31"/>
      <c r="F15" s="5">
        <v>1</v>
      </c>
      <c r="G15" s="17">
        <f>14.25*2</f>
        <v>28.5</v>
      </c>
      <c r="H15" s="4" t="s">
        <v>28</v>
      </c>
      <c r="I15" s="18">
        <v>115</v>
      </c>
      <c r="J15" s="20">
        <f t="shared" si="0"/>
        <v>3277.5</v>
      </c>
    </row>
    <row r="16" spans="2:10" ht="33.9" customHeight="1" x14ac:dyDescent="0.3">
      <c r="B16" s="4">
        <v>6</v>
      </c>
      <c r="C16" s="31" t="s">
        <v>41</v>
      </c>
      <c r="D16" s="31"/>
      <c r="E16" s="31"/>
      <c r="F16" s="5">
        <v>1</v>
      </c>
      <c r="G16" s="21">
        <f>104*19.5481</f>
        <v>2033.0024000000001</v>
      </c>
      <c r="H16" s="4" t="s">
        <v>28</v>
      </c>
      <c r="I16" s="18">
        <v>115</v>
      </c>
      <c r="J16" s="20">
        <f t="shared" si="0"/>
        <v>233795.27600000001</v>
      </c>
    </row>
    <row r="17" spans="2:15" ht="17.399999999999999" customHeight="1" x14ac:dyDescent="0.35">
      <c r="B17" s="14"/>
      <c r="C17" s="24" t="s">
        <v>18</v>
      </c>
      <c r="D17" s="24"/>
      <c r="E17" s="24"/>
      <c r="F17" s="24"/>
      <c r="G17" s="24"/>
      <c r="H17" s="24"/>
      <c r="I17" s="24"/>
      <c r="J17" s="19">
        <f>SUM(J11:J16)</f>
        <v>789504.12599999993</v>
      </c>
      <c r="O17" s="1" t="e">
        <f>G16+#REF!+#REF!+#REF!+#REF!+#REF!+#REF!+#REF!</f>
        <v>#REF!</v>
      </c>
    </row>
    <row r="18" spans="2:15" ht="17.399999999999999" customHeight="1" x14ac:dyDescent="0.35">
      <c r="B18" s="14"/>
      <c r="C18" s="25" t="s">
        <v>26</v>
      </c>
      <c r="D18" s="25"/>
      <c r="E18" s="25"/>
      <c r="F18" s="25"/>
      <c r="G18" s="25"/>
      <c r="H18" s="25"/>
      <c r="I18" s="25"/>
      <c r="J18" s="19">
        <f>J17*9%</f>
        <v>71055.371339999998</v>
      </c>
    </row>
    <row r="19" spans="2:15" ht="17.399999999999999" customHeight="1" x14ac:dyDescent="0.35">
      <c r="B19" s="14"/>
      <c r="C19" s="25" t="s">
        <v>27</v>
      </c>
      <c r="D19" s="25"/>
      <c r="E19" s="25"/>
      <c r="F19" s="25"/>
      <c r="G19" s="25"/>
      <c r="H19" s="25"/>
      <c r="I19" s="25"/>
      <c r="J19" s="19">
        <f>J17*9%</f>
        <v>71055.371339999998</v>
      </c>
    </row>
    <row r="20" spans="2:15" ht="17.399999999999999" customHeight="1" x14ac:dyDescent="0.35">
      <c r="B20" s="14"/>
      <c r="C20" s="25"/>
      <c r="D20" s="25"/>
      <c r="E20" s="25"/>
      <c r="F20" s="25"/>
      <c r="G20" s="25"/>
      <c r="H20" s="25"/>
      <c r="I20" s="25"/>
      <c r="J20" s="7"/>
    </row>
    <row r="21" spans="2:15" ht="17.399999999999999" customHeight="1" x14ac:dyDescent="0.35">
      <c r="B21" s="14"/>
      <c r="C21" s="13"/>
      <c r="D21" s="13"/>
      <c r="E21" s="13"/>
      <c r="F21" s="13"/>
      <c r="G21" s="13"/>
      <c r="H21" s="13"/>
      <c r="I21" s="13"/>
      <c r="J21" s="19">
        <f>J17+J19+J18</f>
        <v>931614.86867999984</v>
      </c>
    </row>
    <row r="22" spans="2:15" ht="15.5" x14ac:dyDescent="0.35">
      <c r="B22" s="8"/>
      <c r="C22" s="28" t="s">
        <v>42</v>
      </c>
      <c r="D22" s="28"/>
      <c r="E22" s="28"/>
      <c r="F22" s="28"/>
      <c r="G22" s="28"/>
      <c r="H22" s="28"/>
      <c r="I22" s="28"/>
      <c r="J22" s="28"/>
    </row>
    <row r="23" spans="2:15" ht="15.5" x14ac:dyDescent="0.35">
      <c r="B23" s="14"/>
      <c r="C23" s="27" t="s">
        <v>12</v>
      </c>
      <c r="D23" s="27"/>
      <c r="E23" s="27"/>
      <c r="F23" s="8"/>
      <c r="G23" s="8"/>
      <c r="H23" s="8"/>
      <c r="I23" s="8"/>
      <c r="J23" s="9">
        <v>0</v>
      </c>
    </row>
    <row r="24" spans="2:15" ht="15.5" x14ac:dyDescent="0.35">
      <c r="B24" s="14"/>
      <c r="C24" s="27" t="s">
        <v>20</v>
      </c>
      <c r="D24" s="27"/>
      <c r="E24" s="27"/>
      <c r="F24" s="8"/>
      <c r="G24" s="8"/>
      <c r="H24" s="8"/>
      <c r="I24" s="8"/>
      <c r="J24" s="9">
        <v>0</v>
      </c>
    </row>
    <row r="25" spans="2:15" ht="15.5" x14ac:dyDescent="0.35">
      <c r="B25" s="14"/>
      <c r="C25" s="27" t="s">
        <v>13</v>
      </c>
      <c r="D25" s="27"/>
      <c r="E25" s="27"/>
      <c r="F25" s="8"/>
      <c r="G25" s="8" t="s">
        <v>19</v>
      </c>
      <c r="H25" s="8"/>
      <c r="I25" s="8"/>
      <c r="J25" s="15">
        <f>J21</f>
        <v>931614.86867999984</v>
      </c>
    </row>
    <row r="26" spans="2:15" ht="15.5" x14ac:dyDescent="0.35">
      <c r="B26" s="8"/>
      <c r="C26" s="27"/>
      <c r="D26" s="27"/>
      <c r="E26" s="27"/>
      <c r="F26" s="8"/>
      <c r="G26" s="8"/>
      <c r="H26" s="8"/>
      <c r="I26" s="8"/>
      <c r="J26" s="8"/>
      <c r="L26" s="11"/>
    </row>
    <row r="27" spans="2:15" x14ac:dyDescent="0.3">
      <c r="B27" s="29" t="s">
        <v>14</v>
      </c>
      <c r="C27" s="29"/>
      <c r="D27" s="29"/>
      <c r="E27" s="29"/>
      <c r="F27" s="29"/>
      <c r="G27" s="29"/>
      <c r="H27" s="29"/>
      <c r="I27" s="29"/>
      <c r="J27" s="29"/>
    </row>
    <row r="28" spans="2:15" x14ac:dyDescent="0.3">
      <c r="B28" s="29"/>
      <c r="C28" s="29"/>
      <c r="D28" s="29"/>
      <c r="E28" s="29"/>
      <c r="F28" s="29"/>
      <c r="G28" s="29"/>
      <c r="H28" s="29"/>
      <c r="I28" s="29"/>
      <c r="J28" s="29"/>
    </row>
    <row r="29" spans="2:15" x14ac:dyDescent="0.3">
      <c r="B29" s="29"/>
      <c r="C29" s="29"/>
      <c r="D29" s="29"/>
      <c r="E29" s="29"/>
      <c r="F29" s="29"/>
      <c r="G29" s="29"/>
      <c r="H29" s="29"/>
      <c r="I29" s="29"/>
      <c r="J29" s="29"/>
    </row>
    <row r="32" spans="2:15" ht="14.15" customHeight="1" x14ac:dyDescent="0.3">
      <c r="B32" s="26" t="s">
        <v>15</v>
      </c>
      <c r="C32" s="26"/>
      <c r="D32" s="26"/>
      <c r="E32" s="26"/>
      <c r="F32" s="26"/>
      <c r="G32" s="26"/>
      <c r="H32" s="26"/>
      <c r="I32" s="26"/>
      <c r="J32" s="26"/>
    </row>
    <row r="33" spans="2:10" ht="14.15" customHeight="1" x14ac:dyDescent="0.3">
      <c r="B33" s="26"/>
      <c r="C33" s="26"/>
      <c r="D33" s="26"/>
      <c r="E33" s="26"/>
      <c r="F33" s="26"/>
      <c r="G33" s="26"/>
      <c r="H33" s="26"/>
      <c r="I33" s="26"/>
      <c r="J33" s="26"/>
    </row>
    <row r="34" spans="2:10" x14ac:dyDescent="0.3">
      <c r="B34" s="26"/>
      <c r="C34" s="26"/>
      <c r="D34" s="26"/>
      <c r="E34" s="26"/>
      <c r="F34" s="26"/>
      <c r="G34" s="26"/>
      <c r="H34" s="26"/>
      <c r="I34" s="26"/>
      <c r="J34" s="26"/>
    </row>
    <row r="35" spans="2:10" x14ac:dyDescent="0.3">
      <c r="B35" s="26"/>
      <c r="C35" s="26"/>
      <c r="D35" s="26"/>
      <c r="E35" s="26"/>
      <c r="F35" s="26"/>
      <c r="G35" s="26"/>
      <c r="H35" s="26"/>
      <c r="I35" s="26"/>
      <c r="J35" s="26"/>
    </row>
    <row r="36" spans="2:10" ht="15.5" x14ac:dyDescent="0.35">
      <c r="B36" s="8"/>
      <c r="C36" s="8"/>
      <c r="D36" s="8"/>
      <c r="E36" s="8"/>
      <c r="F36" s="8"/>
      <c r="G36" s="8"/>
      <c r="H36" s="8"/>
      <c r="I36" s="8"/>
      <c r="J36" s="8"/>
    </row>
    <row r="37" spans="2:10" ht="15.5" x14ac:dyDescent="0.35">
      <c r="B37" s="8"/>
      <c r="C37" s="8"/>
      <c r="D37" s="8"/>
      <c r="E37" s="8"/>
      <c r="F37" s="8"/>
      <c r="G37" s="8"/>
      <c r="H37" s="8"/>
      <c r="I37" s="8"/>
      <c r="J37" s="8"/>
    </row>
  </sheetData>
  <mergeCells count="33">
    <mergeCell ref="B34:J35"/>
    <mergeCell ref="C15:E15"/>
    <mergeCell ref="C23:E23"/>
    <mergeCell ref="C24:E24"/>
    <mergeCell ref="C25:E25"/>
    <mergeCell ref="C26:E26"/>
    <mergeCell ref="B27:J29"/>
    <mergeCell ref="B32:J33"/>
    <mergeCell ref="C16:E16"/>
    <mergeCell ref="C17:I17"/>
    <mergeCell ref="C18:I18"/>
    <mergeCell ref="C19:I19"/>
    <mergeCell ref="C20:I20"/>
    <mergeCell ref="C22:J22"/>
    <mergeCell ref="C14:E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E12"/>
    <mergeCell ref="C13:E13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5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D766-F57A-4C70-9AE7-962ADE064AB5}">
  <sheetPr>
    <pageSetUpPr fitToPage="1"/>
  </sheetPr>
  <dimension ref="B2:O32"/>
  <sheetViews>
    <sheetView topLeftCell="A4" zoomScaleNormal="100" workbookViewId="0">
      <selection activeCell="M11" sqref="M11:M12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3" width="10" style="1" bestFit="1" customWidth="1"/>
    <col min="14" max="16384" width="8.6328125" style="1"/>
  </cols>
  <sheetData>
    <row r="2" spans="2:15" ht="17.5" x14ac:dyDescent="0.35">
      <c r="B2" s="32" t="s">
        <v>0</v>
      </c>
      <c r="C2" s="32"/>
      <c r="D2" s="32"/>
      <c r="E2" s="32"/>
      <c r="F2" s="32"/>
      <c r="G2" s="32"/>
      <c r="H2" s="32"/>
      <c r="I2" s="32"/>
      <c r="J2" s="32"/>
    </row>
    <row r="3" spans="2:15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5" ht="15.65" customHeight="1" x14ac:dyDescent="0.35">
      <c r="B4" s="33" t="s">
        <v>16</v>
      </c>
      <c r="C4" s="33"/>
      <c r="D4" s="27" t="s">
        <v>23</v>
      </c>
      <c r="E4" s="27"/>
      <c r="F4" s="27"/>
      <c r="G4" s="27"/>
      <c r="H4" s="34" t="s">
        <v>22</v>
      </c>
      <c r="I4" s="34"/>
      <c r="J4" s="8">
        <v>16</v>
      </c>
    </row>
    <row r="5" spans="2:15" ht="18.899999999999999" customHeight="1" x14ac:dyDescent="0.3">
      <c r="B5" s="26" t="s">
        <v>1</v>
      </c>
      <c r="C5" s="26"/>
      <c r="D5" s="29" t="s">
        <v>24</v>
      </c>
      <c r="E5" s="29"/>
      <c r="F5" s="29"/>
      <c r="G5" s="29"/>
      <c r="H5" s="29"/>
      <c r="I5" s="29"/>
      <c r="J5" s="29"/>
    </row>
    <row r="6" spans="2:15" ht="30.9" customHeight="1" x14ac:dyDescent="0.35">
      <c r="B6" s="35" t="s">
        <v>45</v>
      </c>
      <c r="C6" s="35"/>
      <c r="D6" s="35"/>
      <c r="E6" s="35"/>
      <c r="F6" s="35"/>
      <c r="G6" s="35"/>
      <c r="H6" s="10" t="s">
        <v>2</v>
      </c>
      <c r="I6" s="36">
        <v>45628</v>
      </c>
      <c r="J6" s="37"/>
    </row>
    <row r="7" spans="2:15" ht="20.149999999999999" customHeight="1" x14ac:dyDescent="0.3">
      <c r="B7" s="38" t="s">
        <v>3</v>
      </c>
      <c r="C7" s="38"/>
      <c r="D7" s="31" t="s">
        <v>25</v>
      </c>
      <c r="E7" s="31"/>
      <c r="F7" s="31"/>
      <c r="G7" s="31"/>
      <c r="H7" s="3" t="s">
        <v>17</v>
      </c>
      <c r="I7" s="36">
        <v>45621</v>
      </c>
      <c r="J7" s="37"/>
    </row>
    <row r="8" spans="2:15" ht="18.899999999999999" customHeight="1" x14ac:dyDescent="0.3">
      <c r="B8" s="26" t="s">
        <v>5</v>
      </c>
      <c r="C8" s="26"/>
      <c r="D8" s="29" t="s">
        <v>25</v>
      </c>
      <c r="E8" s="29"/>
      <c r="F8" s="29"/>
      <c r="G8" s="29"/>
      <c r="H8" s="29"/>
      <c r="I8" s="29"/>
      <c r="J8" s="29"/>
    </row>
    <row r="9" spans="2:15" ht="20.399999999999999" customHeight="1" x14ac:dyDescent="0.3">
      <c r="B9" s="26" t="s">
        <v>4</v>
      </c>
      <c r="C9" s="26"/>
      <c r="D9" s="26"/>
      <c r="E9" s="26"/>
      <c r="F9" s="26"/>
      <c r="G9" s="26"/>
      <c r="H9" s="26"/>
      <c r="I9" s="26"/>
      <c r="J9" s="26"/>
    </row>
    <row r="10" spans="2:15" ht="30" x14ac:dyDescent="0.3">
      <c r="B10" s="2" t="s">
        <v>11</v>
      </c>
      <c r="C10" s="30" t="s">
        <v>6</v>
      </c>
      <c r="D10" s="30"/>
      <c r="E10" s="30"/>
      <c r="F10" s="3" t="s">
        <v>7</v>
      </c>
      <c r="G10" s="16" t="s">
        <v>8</v>
      </c>
      <c r="H10" s="16" t="s">
        <v>9</v>
      </c>
      <c r="I10" s="2" t="s">
        <v>21</v>
      </c>
      <c r="J10" s="13" t="s">
        <v>10</v>
      </c>
    </row>
    <row r="11" spans="2:15" ht="33.9" customHeight="1" x14ac:dyDescent="0.3">
      <c r="B11" s="4">
        <v>1</v>
      </c>
      <c r="C11" s="31" t="s">
        <v>43</v>
      </c>
      <c r="D11" s="31"/>
      <c r="E11" s="31"/>
      <c r="F11" s="5">
        <v>1</v>
      </c>
      <c r="G11" s="17">
        <v>342</v>
      </c>
      <c r="H11" s="4" t="s">
        <v>31</v>
      </c>
      <c r="I11" s="18">
        <v>1250</v>
      </c>
      <c r="J11" s="20">
        <f t="shared" ref="J11" si="0">F11*I11*G11</f>
        <v>427500</v>
      </c>
      <c r="L11" s="1">
        <f>G11+'3'!G11+'3'!G12+'2'!G11+'2'!G12</f>
        <v>1212</v>
      </c>
      <c r="M11" s="23">
        <f>J16+(('3'!J11+'3'!J12)*18%+(('3'!J11+'3'!J12))+(('2'!J11+'2'!J12)*18%+('2'!J11+'2'!J12)))</f>
        <v>1787700</v>
      </c>
    </row>
    <row r="12" spans="2:15" ht="17.399999999999999" customHeight="1" x14ac:dyDescent="0.35">
      <c r="B12" s="14"/>
      <c r="C12" s="24" t="s">
        <v>18</v>
      </c>
      <c r="D12" s="24"/>
      <c r="E12" s="24"/>
      <c r="F12" s="24"/>
      <c r="G12" s="24"/>
      <c r="H12" s="24"/>
      <c r="I12" s="24"/>
      <c r="J12" s="19">
        <f>SUM(J11:J11)</f>
        <v>427500</v>
      </c>
      <c r="M12" s="1">
        <f>150000*18%+150000</f>
        <v>177000</v>
      </c>
      <c r="O12" s="1" t="e">
        <f>#REF!+#REF!+#REF!+#REF!+#REF!+#REF!+#REF!+#REF!</f>
        <v>#REF!</v>
      </c>
    </row>
    <row r="13" spans="2:15" ht="17.399999999999999" customHeight="1" x14ac:dyDescent="0.35">
      <c r="B13" s="14"/>
      <c r="C13" s="25" t="s">
        <v>26</v>
      </c>
      <c r="D13" s="25"/>
      <c r="E13" s="25"/>
      <c r="F13" s="25"/>
      <c r="G13" s="25"/>
      <c r="H13" s="25"/>
      <c r="I13" s="25"/>
      <c r="J13" s="19">
        <f>J12*9%</f>
        <v>38475</v>
      </c>
    </row>
    <row r="14" spans="2:15" ht="17.399999999999999" customHeight="1" x14ac:dyDescent="0.35">
      <c r="B14" s="14"/>
      <c r="C14" s="25" t="s">
        <v>27</v>
      </c>
      <c r="D14" s="25"/>
      <c r="E14" s="25"/>
      <c r="F14" s="25"/>
      <c r="G14" s="25"/>
      <c r="H14" s="25"/>
      <c r="I14" s="25"/>
      <c r="J14" s="19">
        <f>J12*9%</f>
        <v>38475</v>
      </c>
    </row>
    <row r="15" spans="2:15" ht="17.399999999999999" customHeight="1" x14ac:dyDescent="0.35">
      <c r="B15" s="14"/>
      <c r="C15" s="25"/>
      <c r="D15" s="25"/>
      <c r="E15" s="25"/>
      <c r="F15" s="25"/>
      <c r="G15" s="25"/>
      <c r="H15" s="25"/>
      <c r="I15" s="25"/>
      <c r="J15" s="7"/>
    </row>
    <row r="16" spans="2:15" ht="17.399999999999999" customHeight="1" x14ac:dyDescent="0.35">
      <c r="B16" s="14"/>
      <c r="C16" s="13"/>
      <c r="D16" s="13"/>
      <c r="E16" s="13"/>
      <c r="F16" s="13"/>
      <c r="G16" s="13"/>
      <c r="H16" s="13"/>
      <c r="I16" s="13"/>
      <c r="J16" s="19">
        <f>J12+J14+J13</f>
        <v>504450</v>
      </c>
    </row>
    <row r="17" spans="2:12" ht="15.5" x14ac:dyDescent="0.35">
      <c r="B17" s="8"/>
      <c r="C17" s="28" t="s">
        <v>44</v>
      </c>
      <c r="D17" s="28"/>
      <c r="E17" s="28"/>
      <c r="F17" s="28"/>
      <c r="G17" s="28"/>
      <c r="H17" s="28"/>
      <c r="I17" s="28"/>
      <c r="J17" s="28"/>
    </row>
    <row r="18" spans="2:12" ht="15.5" x14ac:dyDescent="0.35">
      <c r="B18" s="14"/>
      <c r="C18" s="27" t="s">
        <v>12</v>
      </c>
      <c r="D18" s="27"/>
      <c r="E18" s="27"/>
      <c r="F18" s="8"/>
      <c r="G18" s="8"/>
      <c r="H18" s="8"/>
      <c r="I18" s="8"/>
      <c r="J18" s="9">
        <v>0</v>
      </c>
    </row>
    <row r="19" spans="2:12" ht="15.5" x14ac:dyDescent="0.35">
      <c r="B19" s="14"/>
      <c r="C19" s="27" t="s">
        <v>20</v>
      </c>
      <c r="D19" s="27"/>
      <c r="E19" s="27"/>
      <c r="F19" s="8"/>
      <c r="G19" s="8"/>
      <c r="H19" s="8"/>
      <c r="I19" s="8"/>
      <c r="J19" s="9">
        <v>0</v>
      </c>
    </row>
    <row r="20" spans="2:12" ht="15.5" x14ac:dyDescent="0.35">
      <c r="B20" s="14"/>
      <c r="C20" s="27" t="s">
        <v>13</v>
      </c>
      <c r="D20" s="27"/>
      <c r="E20" s="27"/>
      <c r="F20" s="8"/>
      <c r="G20" s="8" t="s">
        <v>19</v>
      </c>
      <c r="H20" s="8"/>
      <c r="I20" s="8"/>
      <c r="J20" s="15">
        <f>J16</f>
        <v>504450</v>
      </c>
    </row>
    <row r="21" spans="2:12" ht="15.5" x14ac:dyDescent="0.35">
      <c r="B21" s="8"/>
      <c r="C21" s="27"/>
      <c r="D21" s="27"/>
      <c r="E21" s="27"/>
      <c r="F21" s="8"/>
      <c r="G21" s="8"/>
      <c r="H21" s="8"/>
      <c r="I21" s="8"/>
      <c r="J21" s="8"/>
      <c r="L21" s="11"/>
    </row>
    <row r="22" spans="2:12" x14ac:dyDescent="0.3">
      <c r="B22" s="29" t="s">
        <v>14</v>
      </c>
      <c r="C22" s="29"/>
      <c r="D22" s="29"/>
      <c r="E22" s="29"/>
      <c r="F22" s="29"/>
      <c r="G22" s="29"/>
      <c r="H22" s="29"/>
      <c r="I22" s="29"/>
      <c r="J22" s="29"/>
    </row>
    <row r="23" spans="2:12" x14ac:dyDescent="0.3">
      <c r="B23" s="29"/>
      <c r="C23" s="29"/>
      <c r="D23" s="29"/>
      <c r="E23" s="29"/>
      <c r="F23" s="29"/>
      <c r="G23" s="29"/>
      <c r="H23" s="29"/>
      <c r="I23" s="29"/>
      <c r="J23" s="29"/>
    </row>
    <row r="24" spans="2:12" x14ac:dyDescent="0.3">
      <c r="B24" s="29"/>
      <c r="C24" s="29"/>
      <c r="D24" s="29"/>
      <c r="E24" s="29"/>
      <c r="F24" s="29"/>
      <c r="G24" s="29"/>
      <c r="H24" s="29"/>
      <c r="I24" s="29"/>
      <c r="J24" s="29"/>
    </row>
    <row r="27" spans="2:12" ht="14.15" customHeight="1" x14ac:dyDescent="0.3">
      <c r="B27" s="26" t="s">
        <v>15</v>
      </c>
      <c r="C27" s="26"/>
      <c r="D27" s="26"/>
      <c r="E27" s="26"/>
      <c r="F27" s="26"/>
      <c r="G27" s="26"/>
      <c r="H27" s="26"/>
      <c r="I27" s="26"/>
      <c r="J27" s="26"/>
    </row>
    <row r="28" spans="2:12" ht="14.15" customHeight="1" x14ac:dyDescent="0.3">
      <c r="B28" s="26"/>
      <c r="C28" s="26"/>
      <c r="D28" s="26"/>
      <c r="E28" s="26"/>
      <c r="F28" s="26"/>
      <c r="G28" s="26"/>
      <c r="H28" s="26"/>
      <c r="I28" s="26"/>
      <c r="J28" s="26"/>
    </row>
    <row r="29" spans="2:12" x14ac:dyDescent="0.3">
      <c r="B29" s="26"/>
      <c r="C29" s="26"/>
      <c r="D29" s="26"/>
      <c r="E29" s="26"/>
      <c r="F29" s="26"/>
      <c r="G29" s="26"/>
      <c r="H29" s="26"/>
      <c r="I29" s="26"/>
      <c r="J29" s="26"/>
    </row>
    <row r="30" spans="2:12" x14ac:dyDescent="0.3">
      <c r="B30" s="26"/>
      <c r="C30" s="26"/>
      <c r="D30" s="26"/>
      <c r="E30" s="26"/>
      <c r="F30" s="26"/>
      <c r="G30" s="26"/>
      <c r="H30" s="26"/>
      <c r="I30" s="26"/>
      <c r="J30" s="26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</sheetData>
  <mergeCells count="28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C12:I12"/>
    <mergeCell ref="C13:I13"/>
    <mergeCell ref="C14:I14"/>
    <mergeCell ref="C15:I15"/>
    <mergeCell ref="B9:J9"/>
    <mergeCell ref="C10:E10"/>
    <mergeCell ref="C11:E11"/>
    <mergeCell ref="B27:J28"/>
    <mergeCell ref="B29:J30"/>
    <mergeCell ref="C17:J17"/>
    <mergeCell ref="C18:E18"/>
    <mergeCell ref="C19:E19"/>
    <mergeCell ref="C20:E20"/>
    <mergeCell ref="C21:E21"/>
    <mergeCell ref="B22:J24"/>
  </mergeCells>
  <pageMargins left="0.7" right="0.7" top="0.75" bottom="0.75" header="0.3" footer="0.3"/>
  <pageSetup paperSize="9" scale="5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3D2C-B6B9-4985-A010-C728C0BEE895}">
  <sheetPr>
    <pageSetUpPr fitToPage="1"/>
  </sheetPr>
  <dimension ref="B2:L32"/>
  <sheetViews>
    <sheetView topLeftCell="B5" zoomScaleNormal="100" workbookViewId="0">
      <selection activeCell="M11" sqref="M1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10.2695312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2" t="s">
        <v>0</v>
      </c>
      <c r="C2" s="32"/>
      <c r="D2" s="32"/>
      <c r="E2" s="32"/>
      <c r="F2" s="32"/>
      <c r="G2" s="32"/>
      <c r="H2" s="32"/>
      <c r="I2" s="32"/>
      <c r="J2" s="32"/>
    </row>
    <row r="3" spans="2:10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ht="15.65" customHeight="1" x14ac:dyDescent="0.35">
      <c r="B4" s="33" t="s">
        <v>16</v>
      </c>
      <c r="C4" s="33"/>
      <c r="D4" s="27" t="s">
        <v>23</v>
      </c>
      <c r="E4" s="27"/>
      <c r="F4" s="27"/>
      <c r="G4" s="27"/>
      <c r="H4" s="34" t="s">
        <v>22</v>
      </c>
      <c r="I4" s="34"/>
      <c r="J4" s="8">
        <v>18</v>
      </c>
    </row>
    <row r="5" spans="2:10" ht="18.899999999999999" customHeight="1" x14ac:dyDescent="0.3">
      <c r="B5" s="26" t="s">
        <v>1</v>
      </c>
      <c r="C5" s="26"/>
      <c r="D5" s="29" t="s">
        <v>24</v>
      </c>
      <c r="E5" s="29"/>
      <c r="F5" s="29"/>
      <c r="G5" s="29"/>
      <c r="H5" s="29"/>
      <c r="I5" s="29"/>
      <c r="J5" s="29"/>
    </row>
    <row r="6" spans="2:10" ht="30.9" customHeight="1" x14ac:dyDescent="0.35">
      <c r="B6" s="35" t="s">
        <v>45</v>
      </c>
      <c r="C6" s="35"/>
      <c r="D6" s="35"/>
      <c r="E6" s="35"/>
      <c r="F6" s="35"/>
      <c r="G6" s="35"/>
      <c r="H6" s="10" t="s">
        <v>2</v>
      </c>
      <c r="I6" s="36">
        <v>45666</v>
      </c>
      <c r="J6" s="37"/>
    </row>
    <row r="7" spans="2:10" ht="20.149999999999999" customHeight="1" x14ac:dyDescent="0.3">
      <c r="B7" s="38" t="s">
        <v>3</v>
      </c>
      <c r="C7" s="38"/>
      <c r="D7" s="31" t="s">
        <v>25</v>
      </c>
      <c r="E7" s="31"/>
      <c r="F7" s="31"/>
      <c r="G7" s="31"/>
      <c r="H7" s="3" t="s">
        <v>17</v>
      </c>
      <c r="I7" s="36">
        <v>45666</v>
      </c>
      <c r="J7" s="37"/>
    </row>
    <row r="8" spans="2:10" ht="18.899999999999999" customHeight="1" x14ac:dyDescent="0.3">
      <c r="B8" s="26" t="s">
        <v>5</v>
      </c>
      <c r="C8" s="26"/>
      <c r="D8" s="29" t="s">
        <v>25</v>
      </c>
      <c r="E8" s="29"/>
      <c r="F8" s="29"/>
      <c r="G8" s="29"/>
      <c r="H8" s="29"/>
      <c r="I8" s="29"/>
      <c r="J8" s="29"/>
    </row>
    <row r="9" spans="2:10" ht="20.399999999999999" customHeight="1" x14ac:dyDescent="0.3">
      <c r="B9" s="26" t="s">
        <v>4</v>
      </c>
      <c r="C9" s="26"/>
      <c r="D9" s="26"/>
      <c r="E9" s="26"/>
      <c r="F9" s="26"/>
      <c r="G9" s="26"/>
      <c r="H9" s="26"/>
      <c r="I9" s="26"/>
      <c r="J9" s="26"/>
    </row>
    <row r="10" spans="2:10" ht="30" x14ac:dyDescent="0.3">
      <c r="B10" s="2" t="s">
        <v>11</v>
      </c>
      <c r="C10" s="30" t="s">
        <v>6</v>
      </c>
      <c r="D10" s="30"/>
      <c r="E10" s="30"/>
      <c r="F10" s="3" t="s">
        <v>7</v>
      </c>
      <c r="G10" s="16" t="s">
        <v>8</v>
      </c>
      <c r="H10" s="16" t="s">
        <v>9</v>
      </c>
      <c r="I10" s="2" t="s">
        <v>21</v>
      </c>
      <c r="J10" s="13" t="s">
        <v>10</v>
      </c>
    </row>
    <row r="11" spans="2:10" ht="33.9" customHeight="1" x14ac:dyDescent="0.3">
      <c r="B11" s="4">
        <v>1</v>
      </c>
      <c r="C11" s="31" t="s">
        <v>46</v>
      </c>
      <c r="D11" s="31"/>
      <c r="E11" s="31"/>
      <c r="F11" s="5">
        <v>1</v>
      </c>
      <c r="G11" s="17">
        <v>2</v>
      </c>
      <c r="H11" s="4" t="s">
        <v>28</v>
      </c>
      <c r="I11" s="18">
        <v>175000</v>
      </c>
      <c r="J11" s="20">
        <f t="shared" ref="J11" si="0">F11*I11*G11</f>
        <v>350000</v>
      </c>
    </row>
    <row r="12" spans="2:10" ht="17.399999999999999" customHeight="1" x14ac:dyDescent="0.35">
      <c r="B12" s="14"/>
      <c r="C12" s="24" t="s">
        <v>18</v>
      </c>
      <c r="D12" s="24"/>
      <c r="E12" s="24"/>
      <c r="F12" s="24"/>
      <c r="G12" s="24"/>
      <c r="H12" s="24"/>
      <c r="I12" s="24"/>
      <c r="J12" s="19">
        <f>SUM(J11:J11)</f>
        <v>350000</v>
      </c>
    </row>
    <row r="13" spans="2:10" ht="17.399999999999999" customHeight="1" x14ac:dyDescent="0.35">
      <c r="B13" s="14"/>
      <c r="C13" s="25" t="s">
        <v>26</v>
      </c>
      <c r="D13" s="25"/>
      <c r="E13" s="25"/>
      <c r="F13" s="25"/>
      <c r="G13" s="25"/>
      <c r="H13" s="25"/>
      <c r="I13" s="25"/>
      <c r="J13" s="19">
        <f>J12*9%</f>
        <v>31500</v>
      </c>
    </row>
    <row r="14" spans="2:10" ht="17.399999999999999" customHeight="1" x14ac:dyDescent="0.35">
      <c r="B14" s="14"/>
      <c r="C14" s="25" t="s">
        <v>27</v>
      </c>
      <c r="D14" s="25"/>
      <c r="E14" s="25"/>
      <c r="F14" s="25"/>
      <c r="G14" s="25"/>
      <c r="H14" s="25"/>
      <c r="I14" s="25"/>
      <c r="J14" s="19">
        <f>J12*9%</f>
        <v>31500</v>
      </c>
    </row>
    <row r="15" spans="2:10" ht="17.399999999999999" customHeight="1" x14ac:dyDescent="0.35">
      <c r="B15" s="14"/>
      <c r="C15" s="25"/>
      <c r="D15" s="25"/>
      <c r="E15" s="25"/>
      <c r="F15" s="25"/>
      <c r="G15" s="25"/>
      <c r="H15" s="25"/>
      <c r="I15" s="25"/>
      <c r="J15" s="7"/>
    </row>
    <row r="16" spans="2:10" ht="17.399999999999999" customHeight="1" x14ac:dyDescent="0.35">
      <c r="B16" s="14"/>
      <c r="C16" s="13"/>
      <c r="D16" s="13"/>
      <c r="E16" s="13"/>
      <c r="F16" s="13"/>
      <c r="G16" s="13"/>
      <c r="H16" s="13"/>
      <c r="I16" s="13"/>
      <c r="J16" s="19">
        <f>J12+J14+J13</f>
        <v>413000</v>
      </c>
    </row>
    <row r="17" spans="2:12" ht="15.5" x14ac:dyDescent="0.35">
      <c r="B17" s="8"/>
      <c r="C17" s="28" t="s">
        <v>47</v>
      </c>
      <c r="D17" s="28"/>
      <c r="E17" s="28"/>
      <c r="F17" s="28"/>
      <c r="G17" s="28"/>
      <c r="H17" s="28"/>
      <c r="I17" s="28"/>
      <c r="J17" s="28"/>
    </row>
    <row r="18" spans="2:12" ht="15.5" x14ac:dyDescent="0.35">
      <c r="B18" s="14"/>
      <c r="C18" s="27" t="s">
        <v>12</v>
      </c>
      <c r="D18" s="27"/>
      <c r="E18" s="27"/>
      <c r="F18" s="8"/>
      <c r="G18" s="8"/>
      <c r="H18" s="8"/>
      <c r="I18" s="8"/>
      <c r="J18" s="9">
        <v>0</v>
      </c>
    </row>
    <row r="19" spans="2:12" ht="15.5" x14ac:dyDescent="0.35">
      <c r="B19" s="14"/>
      <c r="C19" s="27" t="s">
        <v>20</v>
      </c>
      <c r="D19" s="27"/>
      <c r="E19" s="27"/>
      <c r="F19" s="8"/>
      <c r="G19" s="8"/>
      <c r="H19" s="8"/>
      <c r="I19" s="8"/>
      <c r="J19" s="9">
        <v>0</v>
      </c>
    </row>
    <row r="20" spans="2:12" ht="15.5" x14ac:dyDescent="0.35">
      <c r="B20" s="14"/>
      <c r="C20" s="27" t="s">
        <v>13</v>
      </c>
      <c r="D20" s="27"/>
      <c r="E20" s="27"/>
      <c r="F20" s="8"/>
      <c r="G20" s="8" t="s">
        <v>19</v>
      </c>
      <c r="H20" s="8"/>
      <c r="I20" s="8"/>
      <c r="J20" s="15">
        <f>J16</f>
        <v>413000</v>
      </c>
    </row>
    <row r="21" spans="2:12" ht="15.5" x14ac:dyDescent="0.35">
      <c r="B21" s="8"/>
      <c r="C21" s="27"/>
      <c r="D21" s="27"/>
      <c r="E21" s="27"/>
      <c r="F21" s="8"/>
      <c r="G21" s="8"/>
      <c r="H21" s="8"/>
      <c r="I21" s="8"/>
      <c r="J21" s="8"/>
      <c r="L21" s="11"/>
    </row>
    <row r="22" spans="2:12" x14ac:dyDescent="0.3">
      <c r="B22" s="29" t="s">
        <v>14</v>
      </c>
      <c r="C22" s="29"/>
      <c r="D22" s="29"/>
      <c r="E22" s="29"/>
      <c r="F22" s="29"/>
      <c r="G22" s="29"/>
      <c r="H22" s="29"/>
      <c r="I22" s="29"/>
      <c r="J22" s="29"/>
    </row>
    <row r="23" spans="2:12" x14ac:dyDescent="0.3">
      <c r="B23" s="29"/>
      <c r="C23" s="29"/>
      <c r="D23" s="29"/>
      <c r="E23" s="29"/>
      <c r="F23" s="29"/>
      <c r="G23" s="29"/>
      <c r="H23" s="29"/>
      <c r="I23" s="29"/>
      <c r="J23" s="29"/>
    </row>
    <row r="24" spans="2:12" x14ac:dyDescent="0.3">
      <c r="B24" s="29"/>
      <c r="C24" s="29"/>
      <c r="D24" s="29"/>
      <c r="E24" s="29"/>
      <c r="F24" s="29"/>
      <c r="G24" s="29"/>
      <c r="H24" s="29"/>
      <c r="I24" s="29"/>
      <c r="J24" s="29"/>
    </row>
    <row r="27" spans="2:12" ht="14.15" customHeight="1" x14ac:dyDescent="0.3">
      <c r="B27" s="26" t="s">
        <v>15</v>
      </c>
      <c r="C27" s="26"/>
      <c r="D27" s="26"/>
      <c r="E27" s="26"/>
      <c r="F27" s="26"/>
      <c r="G27" s="26"/>
      <c r="H27" s="26"/>
      <c r="I27" s="26"/>
      <c r="J27" s="26"/>
    </row>
    <row r="28" spans="2:12" ht="14.15" customHeight="1" x14ac:dyDescent="0.3">
      <c r="B28" s="26"/>
      <c r="C28" s="26"/>
      <c r="D28" s="26"/>
      <c r="E28" s="26"/>
      <c r="F28" s="26"/>
      <c r="G28" s="26"/>
      <c r="H28" s="26"/>
      <c r="I28" s="26"/>
      <c r="J28" s="26"/>
    </row>
    <row r="29" spans="2:12" x14ac:dyDescent="0.3">
      <c r="B29" s="26"/>
      <c r="C29" s="26"/>
      <c r="D29" s="26"/>
      <c r="E29" s="26"/>
      <c r="F29" s="26"/>
      <c r="G29" s="26"/>
      <c r="H29" s="26"/>
      <c r="I29" s="26"/>
      <c r="J29" s="26"/>
    </row>
    <row r="30" spans="2:12" x14ac:dyDescent="0.3">
      <c r="B30" s="26"/>
      <c r="C30" s="26"/>
      <c r="D30" s="26"/>
      <c r="E30" s="26"/>
      <c r="F30" s="26"/>
      <c r="G30" s="26"/>
      <c r="H30" s="26"/>
      <c r="I30" s="26"/>
      <c r="J30" s="26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</sheetData>
  <mergeCells count="28">
    <mergeCell ref="B2:J2"/>
    <mergeCell ref="B4:C4"/>
    <mergeCell ref="D4:G4"/>
    <mergeCell ref="H4:I4"/>
    <mergeCell ref="B5:C5"/>
    <mergeCell ref="D5:J5"/>
    <mergeCell ref="C14:I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I12"/>
    <mergeCell ref="C13:I13"/>
    <mergeCell ref="B22:J24"/>
    <mergeCell ref="B27:J28"/>
    <mergeCell ref="B29:J30"/>
    <mergeCell ref="C15:I15"/>
    <mergeCell ref="C17:J17"/>
    <mergeCell ref="C18:E18"/>
    <mergeCell ref="C19:E19"/>
    <mergeCell ref="C20:E20"/>
    <mergeCell ref="C21:E21"/>
  </mergeCells>
  <pageMargins left="0.7" right="0.7" top="0.75" bottom="0.75" header="0.3" footer="0.3"/>
  <pageSetup paperSize="9" scale="5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71428-3B0E-489C-97CF-70EA519CBC1F}">
  <sheetPr>
    <pageSetUpPr fitToPage="1"/>
  </sheetPr>
  <dimension ref="B2:L33"/>
  <sheetViews>
    <sheetView tabSelected="1" topLeftCell="B13" zoomScaleNormal="100" workbookViewId="0">
      <selection activeCell="B2" sqref="B2:J3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10.26953125" style="1" customWidth="1"/>
    <col min="10" max="10" width="13.0898437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32" t="s">
        <v>0</v>
      </c>
      <c r="C2" s="32"/>
      <c r="D2" s="32"/>
      <c r="E2" s="32"/>
      <c r="F2" s="32"/>
      <c r="G2" s="32"/>
      <c r="H2" s="32"/>
      <c r="I2" s="32"/>
      <c r="J2" s="32"/>
    </row>
    <row r="3" spans="2:10" ht="39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ht="15.65" customHeight="1" x14ac:dyDescent="0.35">
      <c r="B4" s="33" t="s">
        <v>16</v>
      </c>
      <c r="C4" s="33"/>
      <c r="D4" s="27" t="s">
        <v>23</v>
      </c>
      <c r="E4" s="27"/>
      <c r="F4" s="27"/>
      <c r="G4" s="27"/>
      <c r="H4" s="34" t="s">
        <v>22</v>
      </c>
      <c r="I4" s="34"/>
      <c r="J4" s="8">
        <v>2</v>
      </c>
    </row>
    <row r="5" spans="2:10" ht="18.899999999999999" customHeight="1" x14ac:dyDescent="0.3">
      <c r="B5" s="26" t="s">
        <v>1</v>
      </c>
      <c r="C5" s="26"/>
      <c r="D5" s="29" t="s">
        <v>24</v>
      </c>
      <c r="E5" s="29"/>
      <c r="F5" s="29"/>
      <c r="G5" s="29"/>
      <c r="H5" s="29"/>
      <c r="I5" s="29"/>
      <c r="J5" s="29"/>
    </row>
    <row r="6" spans="2:10" ht="30.9" customHeight="1" x14ac:dyDescent="0.35">
      <c r="B6" s="35" t="s">
        <v>45</v>
      </c>
      <c r="C6" s="35"/>
      <c r="D6" s="35"/>
      <c r="E6" s="35"/>
      <c r="F6" s="35"/>
      <c r="G6" s="35"/>
      <c r="H6" s="10" t="s">
        <v>2</v>
      </c>
      <c r="I6" s="36">
        <v>45804</v>
      </c>
      <c r="J6" s="37"/>
    </row>
    <row r="7" spans="2:10" ht="20.149999999999999" customHeight="1" x14ac:dyDescent="0.3">
      <c r="B7" s="38" t="s">
        <v>3</v>
      </c>
      <c r="C7" s="38"/>
      <c r="D7" s="31" t="s">
        <v>25</v>
      </c>
      <c r="E7" s="31"/>
      <c r="F7" s="31"/>
      <c r="G7" s="31"/>
      <c r="H7" s="3" t="s">
        <v>17</v>
      </c>
      <c r="I7" s="36">
        <v>45803</v>
      </c>
      <c r="J7" s="37"/>
    </row>
    <row r="8" spans="2:10" ht="18.899999999999999" customHeight="1" x14ac:dyDescent="0.3">
      <c r="B8" s="26" t="s">
        <v>5</v>
      </c>
      <c r="C8" s="26"/>
      <c r="D8" s="29" t="s">
        <v>25</v>
      </c>
      <c r="E8" s="29"/>
      <c r="F8" s="29"/>
      <c r="G8" s="29"/>
      <c r="H8" s="29"/>
      <c r="I8" s="29"/>
      <c r="J8" s="29"/>
    </row>
    <row r="9" spans="2:10" ht="20.399999999999999" customHeight="1" x14ac:dyDescent="0.3">
      <c r="B9" s="26" t="s">
        <v>4</v>
      </c>
      <c r="C9" s="26"/>
      <c r="D9" s="26"/>
      <c r="E9" s="26"/>
      <c r="F9" s="26"/>
      <c r="G9" s="26"/>
      <c r="H9" s="26"/>
      <c r="I9" s="26"/>
      <c r="J9" s="26"/>
    </row>
    <row r="10" spans="2:10" ht="30" x14ac:dyDescent="0.3">
      <c r="B10" s="2" t="s">
        <v>11</v>
      </c>
      <c r="C10" s="30" t="s">
        <v>6</v>
      </c>
      <c r="D10" s="30"/>
      <c r="E10" s="30"/>
      <c r="F10" s="3" t="s">
        <v>7</v>
      </c>
      <c r="G10" s="16" t="s">
        <v>8</v>
      </c>
      <c r="H10" s="16" t="s">
        <v>9</v>
      </c>
      <c r="I10" s="2" t="s">
        <v>21</v>
      </c>
      <c r="J10" s="13" t="s">
        <v>10</v>
      </c>
    </row>
    <row r="11" spans="2:10" ht="33.9" customHeight="1" x14ac:dyDescent="0.3">
      <c r="B11" s="4">
        <v>1</v>
      </c>
      <c r="C11" s="31" t="s">
        <v>48</v>
      </c>
      <c r="D11" s="31"/>
      <c r="E11" s="31"/>
      <c r="F11" s="5">
        <v>1</v>
      </c>
      <c r="G11" s="17">
        <v>2</v>
      </c>
      <c r="H11" s="4" t="s">
        <v>28</v>
      </c>
      <c r="I11" s="18">
        <v>175000</v>
      </c>
      <c r="J11" s="20">
        <f t="shared" ref="J11" si="0">F11*I11*G11</f>
        <v>350000</v>
      </c>
    </row>
    <row r="12" spans="2:10" ht="33.9" customHeight="1" x14ac:dyDescent="0.3">
      <c r="B12" s="4">
        <v>2</v>
      </c>
      <c r="C12" s="31" t="s">
        <v>49</v>
      </c>
      <c r="D12" s="31"/>
      <c r="E12" s="31"/>
      <c r="F12" s="5">
        <v>1</v>
      </c>
      <c r="G12" s="17">
        <v>479.43</v>
      </c>
      <c r="H12" s="4" t="s">
        <v>50</v>
      </c>
      <c r="I12" s="18">
        <v>110</v>
      </c>
      <c r="J12" s="20">
        <f t="shared" ref="J12" si="1">F12*I12*G12</f>
        <v>52737.3</v>
      </c>
    </row>
    <row r="13" spans="2:10" ht="17.399999999999999" customHeight="1" x14ac:dyDescent="0.35">
      <c r="B13" s="14"/>
      <c r="C13" s="24" t="s">
        <v>18</v>
      </c>
      <c r="D13" s="24"/>
      <c r="E13" s="24"/>
      <c r="F13" s="24"/>
      <c r="G13" s="24"/>
      <c r="H13" s="24"/>
      <c r="I13" s="24"/>
      <c r="J13" s="19">
        <f>SUM(J11:J12)</f>
        <v>402737.3</v>
      </c>
    </row>
    <row r="14" spans="2:10" ht="17.399999999999999" customHeight="1" x14ac:dyDescent="0.35">
      <c r="B14" s="14"/>
      <c r="C14" s="25" t="s">
        <v>26</v>
      </c>
      <c r="D14" s="25"/>
      <c r="E14" s="25"/>
      <c r="F14" s="25"/>
      <c r="G14" s="25"/>
      <c r="H14" s="25"/>
      <c r="I14" s="25"/>
      <c r="J14" s="19">
        <f>J13*9%</f>
        <v>36246.356999999996</v>
      </c>
    </row>
    <row r="15" spans="2:10" ht="17.399999999999999" customHeight="1" x14ac:dyDescent="0.35">
      <c r="B15" s="14"/>
      <c r="C15" s="25" t="s">
        <v>27</v>
      </c>
      <c r="D15" s="25"/>
      <c r="E15" s="25"/>
      <c r="F15" s="25"/>
      <c r="G15" s="25"/>
      <c r="H15" s="25"/>
      <c r="I15" s="25"/>
      <c r="J15" s="19">
        <f>J13*9%</f>
        <v>36246.356999999996</v>
      </c>
    </row>
    <row r="16" spans="2:10" ht="17.399999999999999" customHeight="1" x14ac:dyDescent="0.35">
      <c r="B16" s="14"/>
      <c r="C16" s="25"/>
      <c r="D16" s="25"/>
      <c r="E16" s="25"/>
      <c r="F16" s="25"/>
      <c r="G16" s="25"/>
      <c r="H16" s="25"/>
      <c r="I16" s="25"/>
      <c r="J16" s="7"/>
    </row>
    <row r="17" spans="2:12" ht="17.399999999999999" customHeight="1" x14ac:dyDescent="0.35">
      <c r="B17" s="14"/>
      <c r="C17" s="13"/>
      <c r="D17" s="13"/>
      <c r="E17" s="13"/>
      <c r="F17" s="13"/>
      <c r="G17" s="13"/>
      <c r="H17" s="13"/>
      <c r="I17" s="13"/>
      <c r="J17" s="19">
        <f>J13+J15+J14</f>
        <v>475230.01400000002</v>
      </c>
    </row>
    <row r="18" spans="2:12" ht="15.5" x14ac:dyDescent="0.35">
      <c r="B18" s="8"/>
      <c r="C18" s="28" t="s">
        <v>51</v>
      </c>
      <c r="D18" s="28"/>
      <c r="E18" s="28"/>
      <c r="F18" s="28"/>
      <c r="G18" s="28"/>
      <c r="H18" s="28"/>
      <c r="I18" s="28"/>
      <c r="J18" s="28"/>
    </row>
    <row r="19" spans="2:12" ht="15.5" x14ac:dyDescent="0.35">
      <c r="B19" s="14"/>
      <c r="C19" s="27" t="s">
        <v>12</v>
      </c>
      <c r="D19" s="27"/>
      <c r="E19" s="27"/>
      <c r="F19" s="8"/>
      <c r="G19" s="8"/>
      <c r="H19" s="8"/>
      <c r="I19" s="8"/>
      <c r="J19" s="9">
        <v>0</v>
      </c>
    </row>
    <row r="20" spans="2:12" ht="15.5" x14ac:dyDescent="0.35">
      <c r="B20" s="14"/>
      <c r="C20" s="27" t="s">
        <v>20</v>
      </c>
      <c r="D20" s="27"/>
      <c r="E20" s="27"/>
      <c r="F20" s="8"/>
      <c r="G20" s="8"/>
      <c r="H20" s="8"/>
      <c r="I20" s="8"/>
      <c r="J20" s="9">
        <v>0</v>
      </c>
    </row>
    <row r="21" spans="2:12" ht="15.5" x14ac:dyDescent="0.35">
      <c r="B21" s="14"/>
      <c r="C21" s="27" t="s">
        <v>13</v>
      </c>
      <c r="D21" s="27"/>
      <c r="E21" s="27"/>
      <c r="F21" s="8"/>
      <c r="G21" s="8" t="s">
        <v>19</v>
      </c>
      <c r="H21" s="8"/>
      <c r="I21" s="8"/>
      <c r="J21" s="15">
        <f>J17</f>
        <v>475230.01400000002</v>
      </c>
    </row>
    <row r="22" spans="2:12" ht="15.5" x14ac:dyDescent="0.35">
      <c r="B22" s="8"/>
      <c r="C22" s="27"/>
      <c r="D22" s="27"/>
      <c r="E22" s="27"/>
      <c r="F22" s="8"/>
      <c r="G22" s="8"/>
      <c r="H22" s="8"/>
      <c r="I22" s="8"/>
      <c r="J22" s="8"/>
      <c r="L22" s="11"/>
    </row>
    <row r="23" spans="2:12" x14ac:dyDescent="0.3">
      <c r="B23" s="29" t="s">
        <v>14</v>
      </c>
      <c r="C23" s="29"/>
      <c r="D23" s="29"/>
      <c r="E23" s="29"/>
      <c r="F23" s="29"/>
      <c r="G23" s="29"/>
      <c r="H23" s="29"/>
      <c r="I23" s="29"/>
      <c r="J23" s="29"/>
    </row>
    <row r="24" spans="2:12" x14ac:dyDescent="0.3">
      <c r="B24" s="29"/>
      <c r="C24" s="29"/>
      <c r="D24" s="29"/>
      <c r="E24" s="29"/>
      <c r="F24" s="29"/>
      <c r="G24" s="29"/>
      <c r="H24" s="29"/>
      <c r="I24" s="29"/>
      <c r="J24" s="29"/>
    </row>
    <row r="25" spans="2:12" x14ac:dyDescent="0.3">
      <c r="B25" s="29"/>
      <c r="C25" s="29"/>
      <c r="D25" s="29"/>
      <c r="E25" s="29"/>
      <c r="F25" s="29"/>
      <c r="G25" s="29"/>
      <c r="H25" s="29"/>
      <c r="I25" s="29"/>
      <c r="J25" s="29"/>
    </row>
    <row r="28" spans="2:12" ht="14.15" customHeight="1" x14ac:dyDescent="0.3">
      <c r="B28" s="26" t="s">
        <v>15</v>
      </c>
      <c r="C28" s="26"/>
      <c r="D28" s="26"/>
      <c r="E28" s="26"/>
      <c r="F28" s="26"/>
      <c r="G28" s="26"/>
      <c r="H28" s="26"/>
      <c r="I28" s="26"/>
      <c r="J28" s="26"/>
    </row>
    <row r="29" spans="2:12" ht="14.15" customHeight="1" x14ac:dyDescent="0.3">
      <c r="B29" s="26"/>
      <c r="C29" s="26"/>
      <c r="D29" s="26"/>
      <c r="E29" s="26"/>
      <c r="F29" s="26"/>
      <c r="G29" s="26"/>
      <c r="H29" s="26"/>
      <c r="I29" s="26"/>
      <c r="J29" s="26"/>
    </row>
    <row r="30" spans="2:12" x14ac:dyDescent="0.3">
      <c r="B30" s="26"/>
      <c r="C30" s="26"/>
      <c r="D30" s="26"/>
      <c r="E30" s="26"/>
      <c r="F30" s="26"/>
      <c r="G30" s="26"/>
      <c r="H30" s="26"/>
      <c r="I30" s="26"/>
      <c r="J30" s="26"/>
    </row>
    <row r="31" spans="2:12" x14ac:dyDescent="0.3">
      <c r="B31" s="26"/>
      <c r="C31" s="26"/>
      <c r="D31" s="26"/>
      <c r="E31" s="26"/>
      <c r="F31" s="26"/>
      <c r="G31" s="26"/>
      <c r="H31" s="26"/>
      <c r="I31" s="26"/>
      <c r="J31" s="26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</sheetData>
  <mergeCells count="29">
    <mergeCell ref="B23:J25"/>
    <mergeCell ref="B28:J29"/>
    <mergeCell ref="B30:J31"/>
    <mergeCell ref="C11:E11"/>
    <mergeCell ref="C16:I16"/>
    <mergeCell ref="C18:J18"/>
    <mergeCell ref="C19:E19"/>
    <mergeCell ref="C20:E20"/>
    <mergeCell ref="C21:E21"/>
    <mergeCell ref="C22:E22"/>
    <mergeCell ref="B9:J9"/>
    <mergeCell ref="C10:E10"/>
    <mergeCell ref="C12:E12"/>
    <mergeCell ref="C13:I13"/>
    <mergeCell ref="C14:I14"/>
    <mergeCell ref="C15:I15"/>
    <mergeCell ref="B6:G6"/>
    <mergeCell ref="I6:J6"/>
    <mergeCell ref="B7:C7"/>
    <mergeCell ref="D7:G7"/>
    <mergeCell ref="I7:J7"/>
    <mergeCell ref="B8:C8"/>
    <mergeCell ref="D8:J8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2025-05-27T10:55:32Z</cp:lastPrinted>
  <dcterms:created xsi:type="dcterms:W3CDTF">2017-06-28T08:31:23Z</dcterms:created>
  <dcterms:modified xsi:type="dcterms:W3CDTF">2025-05-27T11:02:30Z</dcterms:modified>
</cp:coreProperties>
</file>