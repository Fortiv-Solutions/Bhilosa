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2A593070-0304-4853-A4AB-04FDB998569C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Bill-1" sheetId="5" r:id="rId1"/>
    <sheet name="Bill-2" sheetId="6" r:id="rId2"/>
    <sheet name="Bill-3" sheetId="7" r:id="rId3"/>
    <sheet name="Bill-4" sheetId="8" r:id="rId4"/>
    <sheet name="Bill-5" sheetId="9" r:id="rId5"/>
    <sheet name="Bill-6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" i="10" l="1"/>
  <c r="M17" i="10"/>
  <c r="M15" i="10"/>
  <c r="M11" i="10"/>
  <c r="M12" i="10" s="1"/>
  <c r="M11" i="9"/>
  <c r="M12" i="9" s="1"/>
  <c r="M11" i="8"/>
  <c r="M12" i="8" s="1"/>
  <c r="M11" i="7"/>
  <c r="M12" i="7" s="1"/>
  <c r="M11" i="6"/>
  <c r="M12" i="6" s="1"/>
  <c r="M16" i="5"/>
  <c r="M14" i="5"/>
  <c r="M13" i="5"/>
  <c r="M11" i="5"/>
  <c r="M13" i="10" l="1"/>
  <c r="M14" i="10"/>
  <c r="M14" i="9"/>
  <c r="M13" i="9"/>
  <c r="M16" i="9" s="1"/>
  <c r="M20" i="9" s="1"/>
  <c r="M14" i="8"/>
  <c r="M13" i="8"/>
  <c r="M16" i="8" s="1"/>
  <c r="M20" i="8" s="1"/>
  <c r="M14" i="7"/>
  <c r="M13" i="7"/>
  <c r="M16" i="7" s="1"/>
  <c r="M20" i="7" s="1"/>
  <c r="M13" i="6"/>
  <c r="M16" i="6" s="1"/>
  <c r="M20" i="6" s="1"/>
  <c r="M14" i="6"/>
  <c r="M12" i="5"/>
  <c r="M21" i="10" l="1"/>
  <c r="M20" i="5"/>
</calcChain>
</file>

<file path=xl/sharedStrings.xml><?xml version="1.0" encoding="utf-8"?>
<sst xmlns="http://schemas.openxmlformats.org/spreadsheetml/2006/main" count="193" uniqueCount="46">
  <si>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</si>
  <si>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</si>
  <si>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</si>
  <si>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</si>
  <si>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</si>
  <si>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</si>
  <si>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</si>
  <si>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</si>
  <si>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</si>
  <si>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</si>
  <si>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Rate</t>
  </si>
  <si>
    <t>Amount</t>
  </si>
  <si>
    <t>Sr.
No.</t>
  </si>
  <si>
    <t xml:space="preserve">Advance Payment </t>
  </si>
  <si>
    <t>Balance Payment to be paid</t>
  </si>
  <si>
    <t xml:space="preserve">Approved By - </t>
  </si>
  <si>
    <t xml:space="preserve">Company Name </t>
  </si>
  <si>
    <t>Bill Date</t>
  </si>
  <si>
    <t xml:space="preserve">Total Bill Amount </t>
  </si>
  <si>
    <t>Invoice No.</t>
  </si>
  <si>
    <t>Central GST 9%</t>
  </si>
  <si>
    <t>State GST 9%</t>
  </si>
  <si>
    <t>Retention 5%</t>
  </si>
  <si>
    <t>Debit</t>
  </si>
  <si>
    <t>To, 
Tanvi Infracon</t>
  </si>
  <si>
    <t>Sq.ft.</t>
  </si>
  <si>
    <t>Drashya Interior</t>
  </si>
  <si>
    <t>Nishitbhai</t>
  </si>
  <si>
    <t>With material and Labour Rate</t>
  </si>
  <si>
    <t>GI 0.05 50 X 50 X 50 (50mm Gap) Louvers (D &amp; E Building)</t>
  </si>
  <si>
    <t>P/F/of U Shaped GI 0.05 Baffle Panel With Exterior Grade Power Coating In visible Suraface 50 X 50 X 50 (50mm Gap) (D &amp; E Building)</t>
  </si>
  <si>
    <t>Six Lakh Sixty Seven Thousand Two Hundred Eleven Only</t>
  </si>
  <si>
    <t>GI 0.05 50 X 50 X 50 (50mm Gap) Louvers (C-Building)</t>
  </si>
  <si>
    <t>P/F/of U Shaped GI 0.05 Baffle Panel With Exterior Grade Power Coating In visible Suraface 50 X 50 X 50 (50mm Gap) (C-Building)</t>
  </si>
  <si>
    <t>Eight Lakh Ninty Five Thousand Nine Hundred Fourty Three Only</t>
  </si>
  <si>
    <t>GI 0.05 50 X 50 X 50 (50mm Gap) Louvers (A &amp; B- Building)</t>
  </si>
  <si>
    <t>P/F/of U Shaped GI 0.05 Baffle Panel With Exterior Grade Power Coating In visible Suraface 50 X 50 X 50 (50mm Gap) (A &amp; B- Building)</t>
  </si>
  <si>
    <t>Four Lakh Sixty One Thousand Seven Hundred Four Only</t>
  </si>
  <si>
    <t>U Shape GI Metal Baffle Louvers Panel with Exterior Power coating 25 X 50 X 25 (25mm Gap)</t>
  </si>
  <si>
    <t>Four Lakh Forty Seven Thousand Three Hundred Fourteen Only</t>
  </si>
  <si>
    <t>GI 0.05 25 X 50 X 25 (25mm Gap) Louvers (A, B, D &amp; E- Building)</t>
  </si>
  <si>
    <t>GI 0.05 50 X 50 X 50 (50mm Gap) Louvers (A, B, D &amp; E- Building)</t>
  </si>
  <si>
    <t>U Shaped GI 0.05 Baffle Panel With Exterior Grade Power Coating In visible Suraface 50 X 50 X 50 (50mm Gap) (A, B, D &amp; E- Building)</t>
  </si>
  <si>
    <t>One Lakh Seventeen Thousand Five Hundred Sixty Three Only</t>
  </si>
  <si>
    <t>25-26/ 20</t>
  </si>
  <si>
    <t>Two Lakh Fifty Two Thousand Five Hundred Thirteen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</si>
</sst>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165" fontId="4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vertical="center"/>
    </xf>
    <xf numFmtId="165" fontId="5" fillId="0" borderId="0" xfId="1" applyNumberFormat="1" applyFont="1"/>
    <xf numFmtId="165" fontId="4" fillId="0" borderId="0" xfId="1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5" fontId="5" fillId="0" borderId="0" xfId="0" applyNumberFormat="1" applyFont="1"/>
    <xf numFmtId="165" fontId="2" fillId="0" borderId="0" xfId="0" applyNumberFormat="1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E2:M32"/>
  <sheetViews>
    <sheetView topLeftCell="B8" workbookViewId="0">
      <selection activeCell="E2" sqref="E2:M28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2.453125" style="1" customWidth="1"/>
    <col min="14" max="16384" width="8.6328125" style="1"/>
  </cols>
  <sheetData>
    <row r="2" spans="5:13" ht="17.5" x14ac:dyDescent="0.35">
      <c r="E2" s="32" t="s">
        <v>0</v>
      </c>
      <c r="F2" s="32"/>
      <c r="G2" s="32"/>
      <c r="H2" s="32"/>
      <c r="I2" s="32"/>
      <c r="J2" s="32"/>
      <c r="K2" s="32"/>
      <c r="L2" s="32"/>
      <c r="M2" s="32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33" t="s">
        <v>16</v>
      </c>
      <c r="F4" s="33"/>
      <c r="G4" s="24" t="s">
        <v>26</v>
      </c>
      <c r="H4" s="24"/>
      <c r="I4" s="24"/>
      <c r="J4" s="24"/>
      <c r="K4" s="34" t="s">
        <v>19</v>
      </c>
      <c r="L4" s="34"/>
      <c r="M4" s="7">
        <v>21</v>
      </c>
    </row>
    <row r="5" spans="5:13" ht="18.899999999999999" customHeight="1" x14ac:dyDescent="0.3">
      <c r="E5" s="20" t="s">
        <v>1</v>
      </c>
      <c r="F5" s="20"/>
      <c r="G5" s="25" t="s">
        <v>27</v>
      </c>
      <c r="H5" s="25"/>
      <c r="I5" s="25"/>
      <c r="J5" s="25"/>
      <c r="K5" s="25"/>
      <c r="L5" s="25"/>
      <c r="M5" s="25"/>
    </row>
    <row r="6" spans="5:13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45569</v>
      </c>
      <c r="M6" s="30"/>
    </row>
    <row r="7" spans="5:13" ht="20.149999999999999" customHeight="1" x14ac:dyDescent="0.3">
      <c r="E7" s="31" t="s">
        <v>3</v>
      </c>
      <c r="F7" s="31"/>
      <c r="G7" s="27" t="s">
        <v>29</v>
      </c>
      <c r="H7" s="27"/>
      <c r="I7" s="27"/>
      <c r="J7" s="27"/>
      <c r="K7" s="14" t="s">
        <v>17</v>
      </c>
      <c r="L7" s="29">
        <v>45569</v>
      </c>
      <c r="M7" s="30"/>
    </row>
    <row r="8" spans="5:13" ht="18.899999999999999" customHeight="1" x14ac:dyDescent="0.3">
      <c r="E8" s="20" t="s">
        <v>5</v>
      </c>
      <c r="F8" s="20"/>
      <c r="G8" s="25" t="s">
        <v>28</v>
      </c>
      <c r="H8" s="25"/>
      <c r="I8" s="25"/>
      <c r="J8" s="25"/>
      <c r="K8" s="25"/>
      <c r="L8" s="25"/>
      <c r="M8" s="25"/>
    </row>
    <row r="9" spans="5:13" ht="20.399999999999999" customHeight="1" x14ac:dyDescent="0.3">
      <c r="E9" s="20" t="s">
        <v>4</v>
      </c>
      <c r="F9" s="20"/>
      <c r="G9" s="20"/>
      <c r="H9" s="20"/>
      <c r="I9" s="20"/>
      <c r="J9" s="20"/>
      <c r="K9" s="20"/>
      <c r="L9" s="20"/>
      <c r="M9" s="20"/>
    </row>
    <row r="10" spans="5:13" ht="30" x14ac:dyDescent="0.3">
      <c r="E10" s="2" t="s">
        <v>12</v>
      </c>
      <c r="F10" s="26" t="s">
        <v>6</v>
      </c>
      <c r="G10" s="26"/>
      <c r="H10" s="26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44" customHeight="1" x14ac:dyDescent="0.3">
      <c r="E11" s="4">
        <v>1</v>
      </c>
      <c r="F11" s="27" t="s">
        <v>30</v>
      </c>
      <c r="G11" s="27"/>
      <c r="H11" s="27"/>
      <c r="I11" s="5">
        <v>1</v>
      </c>
      <c r="J11" s="12">
        <v>4188.3900000000003</v>
      </c>
      <c r="K11" s="17" t="s">
        <v>25</v>
      </c>
      <c r="L11" s="4">
        <v>135</v>
      </c>
      <c r="M11" s="9">
        <f>J11*L11*I11</f>
        <v>565432.65</v>
      </c>
    </row>
    <row r="12" spans="5:13" ht="17.399999999999999" customHeight="1" x14ac:dyDescent="0.35">
      <c r="E12" s="16"/>
      <c r="F12" s="21" t="s">
        <v>18</v>
      </c>
      <c r="G12" s="21"/>
      <c r="H12" s="21"/>
      <c r="I12" s="21"/>
      <c r="J12" s="21"/>
      <c r="K12" s="21"/>
      <c r="L12" s="21"/>
      <c r="M12" s="10">
        <f>SUM(M11:M11)</f>
        <v>565432.65</v>
      </c>
    </row>
    <row r="13" spans="5:13" ht="17.399999999999999" customHeight="1" x14ac:dyDescent="0.35">
      <c r="E13" s="16"/>
      <c r="F13" s="22" t="s">
        <v>20</v>
      </c>
      <c r="G13" s="22"/>
      <c r="H13" s="22"/>
      <c r="I13" s="22"/>
      <c r="J13" s="22"/>
      <c r="K13" s="22"/>
      <c r="L13" s="22"/>
      <c r="M13" s="6">
        <f>M12*9%</f>
        <v>50888.938500000004</v>
      </c>
    </row>
    <row r="14" spans="5:13" ht="17.399999999999999" customHeight="1" x14ac:dyDescent="0.35">
      <c r="E14" s="16"/>
      <c r="F14" s="22" t="s">
        <v>21</v>
      </c>
      <c r="G14" s="22"/>
      <c r="H14" s="22"/>
      <c r="I14" s="22"/>
      <c r="J14" s="22"/>
      <c r="K14" s="22"/>
      <c r="L14" s="22"/>
      <c r="M14" s="6">
        <f>M12*9%</f>
        <v>50888.938500000004</v>
      </c>
    </row>
    <row r="15" spans="5:13" ht="17.399999999999999" customHeight="1" x14ac:dyDescent="0.35">
      <c r="E15" s="16"/>
      <c r="F15" s="22" t="s">
        <v>23</v>
      </c>
      <c r="G15" s="22"/>
      <c r="H15" s="22"/>
      <c r="I15" s="22"/>
      <c r="J15" s="22"/>
      <c r="K15" s="22"/>
      <c r="L15" s="22"/>
      <c r="M15" s="10"/>
    </row>
    <row r="16" spans="5:13" ht="17.399999999999999" customHeight="1" x14ac:dyDescent="0.35">
      <c r="E16" s="16"/>
      <c r="F16" s="13"/>
      <c r="G16" s="13"/>
      <c r="H16" s="13"/>
      <c r="I16" s="13"/>
      <c r="J16" s="13"/>
      <c r="K16" s="13"/>
      <c r="L16" s="13"/>
      <c r="M16" s="10">
        <f>M12-M15+M13+M14</f>
        <v>667210.52700000012</v>
      </c>
    </row>
    <row r="17" spans="5:13" ht="15.5" x14ac:dyDescent="0.35">
      <c r="E17" s="7"/>
      <c r="F17" s="23" t="s">
        <v>31</v>
      </c>
      <c r="G17" s="23"/>
      <c r="H17" s="23"/>
      <c r="I17" s="23"/>
      <c r="J17" s="23"/>
      <c r="K17" s="23"/>
      <c r="L17" s="23"/>
      <c r="M17" s="23"/>
    </row>
    <row r="18" spans="5:13" ht="15.5" x14ac:dyDescent="0.35">
      <c r="E18" s="16"/>
      <c r="F18" s="24" t="s">
        <v>13</v>
      </c>
      <c r="G18" s="24"/>
      <c r="H18" s="24"/>
      <c r="I18" s="7"/>
      <c r="J18" s="7"/>
      <c r="K18" s="7"/>
      <c r="L18" s="7"/>
      <c r="M18" s="11"/>
    </row>
    <row r="19" spans="5:13" ht="15.5" x14ac:dyDescent="0.35">
      <c r="E19" s="16"/>
      <c r="F19" s="24" t="s">
        <v>22</v>
      </c>
      <c r="G19" s="24"/>
      <c r="H19" s="24"/>
      <c r="I19" s="7"/>
      <c r="J19" s="7"/>
      <c r="K19" s="7"/>
      <c r="L19" s="7"/>
      <c r="M19" s="11"/>
    </row>
    <row r="20" spans="5:13" ht="15.5" x14ac:dyDescent="0.35">
      <c r="E20" s="16"/>
      <c r="F20" s="24" t="s">
        <v>14</v>
      </c>
      <c r="G20" s="24"/>
      <c r="H20" s="24"/>
      <c r="I20" s="7"/>
      <c r="J20" s="7"/>
      <c r="K20" s="7"/>
      <c r="L20" s="7"/>
      <c r="M20" s="18">
        <f>M16-M18-M19</f>
        <v>667210.52700000012</v>
      </c>
    </row>
    <row r="21" spans="5:13" ht="15.5" x14ac:dyDescent="0.35">
      <c r="E21" s="7"/>
      <c r="F21" s="7"/>
      <c r="G21" s="7"/>
      <c r="H21" s="7"/>
      <c r="I21" s="7"/>
      <c r="J21" s="7"/>
      <c r="K21" s="7"/>
      <c r="L21" s="7"/>
      <c r="M21" s="7"/>
    </row>
    <row r="22" spans="5:13" x14ac:dyDescent="0.3">
      <c r="E22" s="25"/>
      <c r="F22" s="25"/>
      <c r="G22" s="25"/>
      <c r="H22" s="25"/>
      <c r="I22" s="25"/>
      <c r="J22" s="25"/>
      <c r="K22" s="25"/>
      <c r="L22" s="25"/>
      <c r="M22" s="25"/>
    </row>
    <row r="23" spans="5:13" x14ac:dyDescent="0.3">
      <c r="E23" s="25"/>
      <c r="F23" s="25"/>
      <c r="G23" s="25"/>
      <c r="H23" s="25"/>
      <c r="I23" s="25"/>
      <c r="J23" s="25"/>
      <c r="K23" s="25"/>
      <c r="L23" s="25"/>
      <c r="M23" s="25"/>
    </row>
    <row r="24" spans="5:13" x14ac:dyDescent="0.3">
      <c r="E24" s="25"/>
      <c r="F24" s="25"/>
      <c r="G24" s="25"/>
      <c r="H24" s="25"/>
      <c r="I24" s="25"/>
      <c r="J24" s="25"/>
      <c r="K24" s="25"/>
      <c r="L24" s="25"/>
      <c r="M24" s="25"/>
    </row>
    <row r="25" spans="5:13" x14ac:dyDescent="0.3">
      <c r="E25" s="20" t="s">
        <v>15</v>
      </c>
      <c r="F25" s="20"/>
      <c r="G25" s="20"/>
      <c r="H25" s="20"/>
      <c r="I25" s="20"/>
      <c r="J25" s="20"/>
      <c r="K25" s="20"/>
      <c r="L25" s="20"/>
      <c r="M25" s="20"/>
    </row>
    <row r="26" spans="5:13" x14ac:dyDescent="0.3">
      <c r="E26" s="20"/>
      <c r="F26" s="20"/>
      <c r="G26" s="20"/>
      <c r="H26" s="20"/>
      <c r="I26" s="20"/>
      <c r="J26" s="20"/>
      <c r="K26" s="20"/>
      <c r="L26" s="20"/>
      <c r="M26" s="20"/>
    </row>
    <row r="27" spans="5:13" x14ac:dyDescent="0.3">
      <c r="E27" s="20"/>
      <c r="F27" s="20"/>
      <c r="G27" s="20"/>
      <c r="H27" s="20"/>
      <c r="I27" s="20"/>
      <c r="J27" s="20"/>
      <c r="K27" s="20"/>
      <c r="L27" s="20"/>
      <c r="M27" s="20"/>
    </row>
    <row r="28" spans="5:13" x14ac:dyDescent="0.3">
      <c r="E28" s="20"/>
      <c r="F28" s="20"/>
      <c r="G28" s="20"/>
      <c r="H28" s="20"/>
      <c r="I28" s="20"/>
      <c r="J28" s="20"/>
      <c r="K28" s="20"/>
      <c r="L28" s="20"/>
      <c r="M28" s="20"/>
    </row>
    <row r="29" spans="5:13" x14ac:dyDescent="0.3">
      <c r="E29" s="20"/>
      <c r="F29" s="20"/>
      <c r="G29" s="20"/>
      <c r="H29" s="20"/>
      <c r="I29" s="20"/>
      <c r="J29" s="20"/>
      <c r="K29" s="20"/>
      <c r="L29" s="20"/>
      <c r="M29" s="20"/>
    </row>
    <row r="30" spans="5:13" x14ac:dyDescent="0.3">
      <c r="E30" s="20"/>
      <c r="F30" s="20"/>
      <c r="G30" s="20"/>
      <c r="H30" s="20"/>
      <c r="I30" s="20"/>
      <c r="J30" s="20"/>
      <c r="K30" s="20"/>
      <c r="L30" s="20"/>
      <c r="M30" s="20"/>
    </row>
    <row r="31" spans="5:13" ht="15.5" x14ac:dyDescent="0.35">
      <c r="E31" s="7"/>
      <c r="F31" s="7"/>
      <c r="G31" s="7"/>
      <c r="H31" s="7"/>
      <c r="I31" s="7"/>
      <c r="J31" s="7"/>
      <c r="K31" s="7"/>
      <c r="L31" s="7"/>
      <c r="M31" s="7"/>
    </row>
    <row r="32" spans="5:13" ht="15.5" x14ac:dyDescent="0.35">
      <c r="E32" s="7"/>
      <c r="F32" s="7"/>
      <c r="G32" s="7"/>
      <c r="H32" s="7"/>
      <c r="I32" s="7"/>
      <c r="J32" s="7"/>
      <c r="K32" s="7"/>
      <c r="L32" s="7"/>
      <c r="M32" s="7"/>
    </row>
  </sheetData>
  <mergeCells count="28">
    <mergeCell ref="E2:M2"/>
    <mergeCell ref="E4:F4"/>
    <mergeCell ref="G4:J4"/>
    <mergeCell ref="K4:L4"/>
    <mergeCell ref="E5:F5"/>
    <mergeCell ref="G5:M5"/>
    <mergeCell ref="E6:J6"/>
    <mergeCell ref="L6:M6"/>
    <mergeCell ref="E7:F7"/>
    <mergeCell ref="G7:J7"/>
    <mergeCell ref="L7:M7"/>
    <mergeCell ref="E8:F8"/>
    <mergeCell ref="G8:M8"/>
    <mergeCell ref="E9:M9"/>
    <mergeCell ref="F10:H10"/>
    <mergeCell ref="F11:H11"/>
    <mergeCell ref="E29:M30"/>
    <mergeCell ref="F12:L12"/>
    <mergeCell ref="F13:L13"/>
    <mergeCell ref="F14:L14"/>
    <mergeCell ref="F15:L15"/>
    <mergeCell ref="F17:M17"/>
    <mergeCell ref="F18:H18"/>
    <mergeCell ref="F19:H19"/>
    <mergeCell ref="F20:H20"/>
    <mergeCell ref="E22:M24"/>
    <mergeCell ref="E25:M26"/>
    <mergeCell ref="E27:M28"/>
  </mergeCells>
  <pageMargins left="0.7" right="0.7" top="0.75" bottom="0.75" header="0.3" footer="0.3"/>
  <pageSetup paperSize="9" scale="58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EDB3-D5E9-43D5-B4E1-6EF0D1E908BE}">
  <sheetPr>
    <pageSetUpPr fitToPage="1"/>
  </sheetPr>
  <dimension ref="E2:M32"/>
  <sheetViews>
    <sheetView topLeftCell="B11" workbookViewId="0">
      <selection activeCell="E2" sqref="E2:M30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2.453125" style="1" customWidth="1"/>
    <col min="14" max="16384" width="8.6328125" style="1"/>
  </cols>
  <sheetData>
    <row r="2" spans="5:13" ht="17.5" x14ac:dyDescent="0.35">
      <c r="E2" s="32" t="s">
        <v>0</v>
      </c>
      <c r="F2" s="32"/>
      <c r="G2" s="32"/>
      <c r="H2" s="32"/>
      <c r="I2" s="32"/>
      <c r="J2" s="32"/>
      <c r="K2" s="32"/>
      <c r="L2" s="32"/>
      <c r="M2" s="32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33" t="s">
        <v>16</v>
      </c>
      <c r="F4" s="33"/>
      <c r="G4" s="24" t="s">
        <v>26</v>
      </c>
      <c r="H4" s="24"/>
      <c r="I4" s="24"/>
      <c r="J4" s="24"/>
      <c r="K4" s="34" t="s">
        <v>19</v>
      </c>
      <c r="L4" s="34"/>
      <c r="M4" s="7">
        <v>25</v>
      </c>
    </row>
    <row r="5" spans="5:13" ht="18.899999999999999" customHeight="1" x14ac:dyDescent="0.3">
      <c r="E5" s="20" t="s">
        <v>1</v>
      </c>
      <c r="F5" s="20"/>
      <c r="G5" s="25" t="s">
        <v>27</v>
      </c>
      <c r="H5" s="25"/>
      <c r="I5" s="25"/>
      <c r="J5" s="25"/>
      <c r="K5" s="25"/>
      <c r="L5" s="25"/>
      <c r="M5" s="25"/>
    </row>
    <row r="6" spans="5:13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45617</v>
      </c>
      <c r="M6" s="30"/>
    </row>
    <row r="7" spans="5:13" ht="20.149999999999999" customHeight="1" x14ac:dyDescent="0.3">
      <c r="E7" s="31" t="s">
        <v>3</v>
      </c>
      <c r="F7" s="31"/>
      <c r="G7" s="27" t="s">
        <v>32</v>
      </c>
      <c r="H7" s="27"/>
      <c r="I7" s="27"/>
      <c r="J7" s="27"/>
      <c r="K7" s="14" t="s">
        <v>17</v>
      </c>
      <c r="L7" s="29">
        <v>45623</v>
      </c>
      <c r="M7" s="30"/>
    </row>
    <row r="8" spans="5:13" ht="18.899999999999999" customHeight="1" x14ac:dyDescent="0.3">
      <c r="E8" s="20" t="s">
        <v>5</v>
      </c>
      <c r="F8" s="20"/>
      <c r="G8" s="25" t="s">
        <v>28</v>
      </c>
      <c r="H8" s="25"/>
      <c r="I8" s="25"/>
      <c r="J8" s="25"/>
      <c r="K8" s="25"/>
      <c r="L8" s="25"/>
      <c r="M8" s="25"/>
    </row>
    <row r="9" spans="5:13" ht="20.399999999999999" customHeight="1" x14ac:dyDescent="0.3">
      <c r="E9" s="20" t="s">
        <v>4</v>
      </c>
      <c r="F9" s="20"/>
      <c r="G9" s="20"/>
      <c r="H9" s="20"/>
      <c r="I9" s="20"/>
      <c r="J9" s="20"/>
      <c r="K9" s="20"/>
      <c r="L9" s="20"/>
      <c r="M9" s="20"/>
    </row>
    <row r="10" spans="5:13" ht="30" x14ac:dyDescent="0.3">
      <c r="E10" s="2" t="s">
        <v>12</v>
      </c>
      <c r="F10" s="26" t="s">
        <v>6</v>
      </c>
      <c r="G10" s="26"/>
      <c r="H10" s="26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44" customHeight="1" x14ac:dyDescent="0.3">
      <c r="E11" s="4">
        <v>1</v>
      </c>
      <c r="F11" s="27" t="s">
        <v>33</v>
      </c>
      <c r="G11" s="27"/>
      <c r="H11" s="27"/>
      <c r="I11" s="5">
        <v>1</v>
      </c>
      <c r="J11" s="12">
        <v>5624.25</v>
      </c>
      <c r="K11" s="17" t="s">
        <v>25</v>
      </c>
      <c r="L11" s="4">
        <v>135</v>
      </c>
      <c r="M11" s="9">
        <f>J11*L11*I11</f>
        <v>759273.75</v>
      </c>
    </row>
    <row r="12" spans="5:13" ht="17.399999999999999" customHeight="1" x14ac:dyDescent="0.35">
      <c r="E12" s="16"/>
      <c r="F12" s="21" t="s">
        <v>18</v>
      </c>
      <c r="G12" s="21"/>
      <c r="H12" s="21"/>
      <c r="I12" s="21"/>
      <c r="J12" s="21"/>
      <c r="K12" s="21"/>
      <c r="L12" s="21"/>
      <c r="M12" s="10">
        <f>SUM(M11:M11)</f>
        <v>759273.75</v>
      </c>
    </row>
    <row r="13" spans="5:13" ht="17.399999999999999" customHeight="1" x14ac:dyDescent="0.35">
      <c r="E13" s="16"/>
      <c r="F13" s="22" t="s">
        <v>20</v>
      </c>
      <c r="G13" s="22"/>
      <c r="H13" s="22"/>
      <c r="I13" s="22"/>
      <c r="J13" s="22"/>
      <c r="K13" s="22"/>
      <c r="L13" s="22"/>
      <c r="M13" s="6">
        <f>M12*9%</f>
        <v>68334.637499999997</v>
      </c>
    </row>
    <row r="14" spans="5:13" ht="17.399999999999999" customHeight="1" x14ac:dyDescent="0.35">
      <c r="E14" s="16"/>
      <c r="F14" s="22" t="s">
        <v>21</v>
      </c>
      <c r="G14" s="22"/>
      <c r="H14" s="22"/>
      <c r="I14" s="22"/>
      <c r="J14" s="22"/>
      <c r="K14" s="22"/>
      <c r="L14" s="22"/>
      <c r="M14" s="6">
        <f>M12*9%</f>
        <v>68334.637499999997</v>
      </c>
    </row>
    <row r="15" spans="5:13" ht="17.399999999999999" customHeight="1" x14ac:dyDescent="0.35">
      <c r="E15" s="16"/>
      <c r="F15" s="22" t="s">
        <v>23</v>
      </c>
      <c r="G15" s="22"/>
      <c r="H15" s="22"/>
      <c r="I15" s="22"/>
      <c r="J15" s="22"/>
      <c r="K15" s="22"/>
      <c r="L15" s="22"/>
      <c r="M15" s="10"/>
    </row>
    <row r="16" spans="5:13" ht="17.399999999999999" customHeight="1" x14ac:dyDescent="0.35">
      <c r="E16" s="16"/>
      <c r="F16" s="13"/>
      <c r="G16" s="13"/>
      <c r="H16" s="13"/>
      <c r="I16" s="13"/>
      <c r="J16" s="13"/>
      <c r="K16" s="13"/>
      <c r="L16" s="13"/>
      <c r="M16" s="10">
        <f>M12-M15+M13+M14</f>
        <v>895943.02499999991</v>
      </c>
    </row>
    <row r="17" spans="5:13" ht="15.5" x14ac:dyDescent="0.35">
      <c r="E17" s="7"/>
      <c r="F17" s="23" t="s">
        <v>34</v>
      </c>
      <c r="G17" s="23"/>
      <c r="H17" s="23"/>
      <c r="I17" s="23"/>
      <c r="J17" s="23"/>
      <c r="K17" s="23"/>
      <c r="L17" s="23"/>
      <c r="M17" s="23"/>
    </row>
    <row r="18" spans="5:13" ht="15.5" x14ac:dyDescent="0.35">
      <c r="E18" s="16"/>
      <c r="F18" s="24" t="s">
        <v>13</v>
      </c>
      <c r="G18" s="24"/>
      <c r="H18" s="24"/>
      <c r="I18" s="7"/>
      <c r="J18" s="7"/>
      <c r="K18" s="7"/>
      <c r="L18" s="7"/>
      <c r="M18" s="11"/>
    </row>
    <row r="19" spans="5:13" ht="15.5" x14ac:dyDescent="0.35">
      <c r="E19" s="16"/>
      <c r="F19" s="24" t="s">
        <v>22</v>
      </c>
      <c r="G19" s="24"/>
      <c r="H19" s="24"/>
      <c r="I19" s="7"/>
      <c r="J19" s="7"/>
      <c r="K19" s="7"/>
      <c r="L19" s="7"/>
      <c r="M19" s="11"/>
    </row>
    <row r="20" spans="5:13" ht="15.5" x14ac:dyDescent="0.35">
      <c r="E20" s="16"/>
      <c r="F20" s="24" t="s">
        <v>14</v>
      </c>
      <c r="G20" s="24"/>
      <c r="H20" s="24"/>
      <c r="I20" s="7"/>
      <c r="J20" s="7"/>
      <c r="K20" s="7"/>
      <c r="L20" s="7"/>
      <c r="M20" s="18">
        <f>M16-M18-M19</f>
        <v>895943.02499999991</v>
      </c>
    </row>
    <row r="21" spans="5:13" ht="15.5" x14ac:dyDescent="0.35">
      <c r="E21" s="7"/>
      <c r="F21" s="7"/>
      <c r="G21" s="7"/>
      <c r="H21" s="7"/>
      <c r="I21" s="7"/>
      <c r="J21" s="7"/>
      <c r="K21" s="7"/>
      <c r="L21" s="7"/>
      <c r="M21" s="7"/>
    </row>
    <row r="22" spans="5:13" x14ac:dyDescent="0.3">
      <c r="E22" s="25"/>
      <c r="F22" s="25"/>
      <c r="G22" s="25"/>
      <c r="H22" s="25"/>
      <c r="I22" s="25"/>
      <c r="J22" s="25"/>
      <c r="K22" s="25"/>
      <c r="L22" s="25"/>
      <c r="M22" s="25"/>
    </row>
    <row r="23" spans="5:13" x14ac:dyDescent="0.3">
      <c r="E23" s="25"/>
      <c r="F23" s="25"/>
      <c r="G23" s="25"/>
      <c r="H23" s="25"/>
      <c r="I23" s="25"/>
      <c r="J23" s="25"/>
      <c r="K23" s="25"/>
      <c r="L23" s="25"/>
      <c r="M23" s="25"/>
    </row>
    <row r="24" spans="5:13" x14ac:dyDescent="0.3">
      <c r="E24" s="25"/>
      <c r="F24" s="25"/>
      <c r="G24" s="25"/>
      <c r="H24" s="25"/>
      <c r="I24" s="25"/>
      <c r="J24" s="25"/>
      <c r="K24" s="25"/>
      <c r="L24" s="25"/>
      <c r="M24" s="25"/>
    </row>
    <row r="25" spans="5:13" x14ac:dyDescent="0.3">
      <c r="E25" s="20" t="s">
        <v>15</v>
      </c>
      <c r="F25" s="20"/>
      <c r="G25" s="20"/>
      <c r="H25" s="20"/>
      <c r="I25" s="20"/>
      <c r="J25" s="20"/>
      <c r="K25" s="20"/>
      <c r="L25" s="20"/>
      <c r="M25" s="20"/>
    </row>
    <row r="26" spans="5:13" x14ac:dyDescent="0.3">
      <c r="E26" s="20"/>
      <c r="F26" s="20"/>
      <c r="G26" s="20"/>
      <c r="H26" s="20"/>
      <c r="I26" s="20"/>
      <c r="J26" s="20"/>
      <c r="K26" s="20"/>
      <c r="L26" s="20"/>
      <c r="M26" s="20"/>
    </row>
    <row r="27" spans="5:13" x14ac:dyDescent="0.3">
      <c r="E27" s="20"/>
      <c r="F27" s="20"/>
      <c r="G27" s="20"/>
      <c r="H27" s="20"/>
      <c r="I27" s="20"/>
      <c r="J27" s="20"/>
      <c r="K27" s="20"/>
      <c r="L27" s="20"/>
      <c r="M27" s="20"/>
    </row>
    <row r="28" spans="5:13" x14ac:dyDescent="0.3">
      <c r="E28" s="20"/>
      <c r="F28" s="20"/>
      <c r="G28" s="20"/>
      <c r="H28" s="20"/>
      <c r="I28" s="20"/>
      <c r="J28" s="20"/>
      <c r="K28" s="20"/>
      <c r="L28" s="20"/>
      <c r="M28" s="20"/>
    </row>
    <row r="29" spans="5:13" x14ac:dyDescent="0.3">
      <c r="E29" s="20"/>
      <c r="F29" s="20"/>
      <c r="G29" s="20"/>
      <c r="H29" s="20"/>
      <c r="I29" s="20"/>
      <c r="J29" s="20"/>
      <c r="K29" s="20"/>
      <c r="L29" s="20"/>
      <c r="M29" s="20"/>
    </row>
    <row r="30" spans="5:13" x14ac:dyDescent="0.3">
      <c r="E30" s="20"/>
      <c r="F30" s="20"/>
      <c r="G30" s="20"/>
      <c r="H30" s="20"/>
      <c r="I30" s="20"/>
      <c r="J30" s="20"/>
      <c r="K30" s="20"/>
      <c r="L30" s="20"/>
      <c r="M30" s="20"/>
    </row>
    <row r="31" spans="5:13" ht="15.5" x14ac:dyDescent="0.35">
      <c r="E31" s="7"/>
      <c r="F31" s="7"/>
      <c r="G31" s="7"/>
      <c r="H31" s="7"/>
      <c r="I31" s="7"/>
      <c r="J31" s="7"/>
      <c r="K31" s="7"/>
      <c r="L31" s="7"/>
      <c r="M31" s="7"/>
    </row>
    <row r="32" spans="5:13" ht="15.5" x14ac:dyDescent="0.35">
      <c r="E32" s="7"/>
      <c r="F32" s="7"/>
      <c r="G32" s="7"/>
      <c r="H32" s="7"/>
      <c r="I32" s="7"/>
      <c r="J32" s="7"/>
      <c r="K32" s="7"/>
      <c r="L32" s="7"/>
      <c r="M32" s="7"/>
    </row>
  </sheetData>
  <mergeCells count="28">
    <mergeCell ref="E25:M26"/>
    <mergeCell ref="E27:M28"/>
    <mergeCell ref="E29:M30"/>
    <mergeCell ref="F15:L15"/>
    <mergeCell ref="F17:M17"/>
    <mergeCell ref="F18:H18"/>
    <mergeCell ref="F19:H19"/>
    <mergeCell ref="F20:H20"/>
    <mergeCell ref="E22:M24"/>
    <mergeCell ref="F14:L14"/>
    <mergeCell ref="E6:J6"/>
    <mergeCell ref="L6:M6"/>
    <mergeCell ref="E7:F7"/>
    <mergeCell ref="G7:J7"/>
    <mergeCell ref="L7:M7"/>
    <mergeCell ref="E8:F8"/>
    <mergeCell ref="G8:M8"/>
    <mergeCell ref="E9:M9"/>
    <mergeCell ref="F10:H10"/>
    <mergeCell ref="F11:H11"/>
    <mergeCell ref="F12:L12"/>
    <mergeCell ref="F13:L13"/>
    <mergeCell ref="E2:M2"/>
    <mergeCell ref="E4:F4"/>
    <mergeCell ref="G4:J4"/>
    <mergeCell ref="K4:L4"/>
    <mergeCell ref="E5:F5"/>
    <mergeCell ref="G5:M5"/>
  </mergeCells>
  <pageMargins left="0.7" right="0.7" top="0.75" bottom="0.75" header="0.3" footer="0.3"/>
  <pageSetup paperSize="9" scale="58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6FBC-EC09-4443-922C-098F992D1691}">
  <sheetPr>
    <pageSetUpPr fitToPage="1"/>
  </sheetPr>
  <dimension ref="E2:M32"/>
  <sheetViews>
    <sheetView topLeftCell="B7" workbookViewId="0">
      <selection activeCell="F11" sqref="F11:H11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2.453125" style="1" customWidth="1"/>
    <col min="14" max="16384" width="8.6328125" style="1"/>
  </cols>
  <sheetData>
    <row r="2" spans="5:13" ht="17.5" x14ac:dyDescent="0.35">
      <c r="E2" s="32" t="s">
        <v>0</v>
      </c>
      <c r="F2" s="32"/>
      <c r="G2" s="32"/>
      <c r="H2" s="32"/>
      <c r="I2" s="32"/>
      <c r="J2" s="32"/>
      <c r="K2" s="32"/>
      <c r="L2" s="32"/>
      <c r="M2" s="32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33" t="s">
        <v>16</v>
      </c>
      <c r="F4" s="33"/>
      <c r="G4" s="24" t="s">
        <v>26</v>
      </c>
      <c r="H4" s="24"/>
      <c r="I4" s="24"/>
      <c r="J4" s="24"/>
      <c r="K4" s="34" t="s">
        <v>19</v>
      </c>
      <c r="L4" s="34"/>
      <c r="M4" s="7">
        <v>28</v>
      </c>
    </row>
    <row r="5" spans="5:13" ht="18.899999999999999" customHeight="1" x14ac:dyDescent="0.3">
      <c r="E5" s="20" t="s">
        <v>1</v>
      </c>
      <c r="F5" s="20"/>
      <c r="G5" s="25" t="s">
        <v>27</v>
      </c>
      <c r="H5" s="25"/>
      <c r="I5" s="25"/>
      <c r="J5" s="25"/>
      <c r="K5" s="25"/>
      <c r="L5" s="25"/>
      <c r="M5" s="25"/>
    </row>
    <row r="6" spans="5:13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45686</v>
      </c>
      <c r="M6" s="30"/>
    </row>
    <row r="7" spans="5:13" ht="20.149999999999999" customHeight="1" x14ac:dyDescent="0.3">
      <c r="E7" s="31" t="s">
        <v>3</v>
      </c>
      <c r="F7" s="31"/>
      <c r="G7" s="27" t="s">
        <v>35</v>
      </c>
      <c r="H7" s="27"/>
      <c r="I7" s="27"/>
      <c r="J7" s="27"/>
      <c r="K7" s="14" t="s">
        <v>17</v>
      </c>
      <c r="L7" s="29">
        <v>45644</v>
      </c>
      <c r="M7" s="30"/>
    </row>
    <row r="8" spans="5:13" ht="18.899999999999999" customHeight="1" x14ac:dyDescent="0.3">
      <c r="E8" s="20" t="s">
        <v>5</v>
      </c>
      <c r="F8" s="20"/>
      <c r="G8" s="25" t="s">
        <v>28</v>
      </c>
      <c r="H8" s="25"/>
      <c r="I8" s="25"/>
      <c r="J8" s="25"/>
      <c r="K8" s="25"/>
      <c r="L8" s="25"/>
      <c r="M8" s="25"/>
    </row>
    <row r="9" spans="5:13" ht="20.399999999999999" customHeight="1" x14ac:dyDescent="0.3">
      <c r="E9" s="20" t="s">
        <v>4</v>
      </c>
      <c r="F9" s="20"/>
      <c r="G9" s="20"/>
      <c r="H9" s="20"/>
      <c r="I9" s="20"/>
      <c r="J9" s="20"/>
      <c r="K9" s="20"/>
      <c r="L9" s="20"/>
      <c r="M9" s="20"/>
    </row>
    <row r="10" spans="5:13" ht="30" x14ac:dyDescent="0.3">
      <c r="E10" s="2" t="s">
        <v>12</v>
      </c>
      <c r="F10" s="26" t="s">
        <v>6</v>
      </c>
      <c r="G10" s="26"/>
      <c r="H10" s="26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46" customHeight="1" x14ac:dyDescent="0.3">
      <c r="E11" s="4">
        <v>1</v>
      </c>
      <c r="F11" s="27" t="s">
        <v>36</v>
      </c>
      <c r="G11" s="27"/>
      <c r="H11" s="27"/>
      <c r="I11" s="5">
        <v>1</v>
      </c>
      <c r="J11" s="12">
        <v>2898.33</v>
      </c>
      <c r="K11" s="17" t="s">
        <v>25</v>
      </c>
      <c r="L11" s="4">
        <v>135</v>
      </c>
      <c r="M11" s="9">
        <f>J11*L11*I11</f>
        <v>391274.55</v>
      </c>
    </row>
    <row r="12" spans="5:13" ht="17.399999999999999" customHeight="1" x14ac:dyDescent="0.35">
      <c r="E12" s="16"/>
      <c r="F12" s="21" t="s">
        <v>18</v>
      </c>
      <c r="G12" s="21"/>
      <c r="H12" s="21"/>
      <c r="I12" s="21"/>
      <c r="J12" s="21"/>
      <c r="K12" s="21"/>
      <c r="L12" s="21"/>
      <c r="M12" s="10">
        <f>SUM(M11:M11)</f>
        <v>391274.55</v>
      </c>
    </row>
    <row r="13" spans="5:13" ht="17.399999999999999" customHeight="1" x14ac:dyDescent="0.35">
      <c r="E13" s="16"/>
      <c r="F13" s="22" t="s">
        <v>20</v>
      </c>
      <c r="G13" s="22"/>
      <c r="H13" s="22"/>
      <c r="I13" s="22"/>
      <c r="J13" s="22"/>
      <c r="K13" s="22"/>
      <c r="L13" s="22"/>
      <c r="M13" s="6">
        <f>M12*9%</f>
        <v>35214.709499999997</v>
      </c>
    </row>
    <row r="14" spans="5:13" ht="17.399999999999999" customHeight="1" x14ac:dyDescent="0.35">
      <c r="E14" s="16"/>
      <c r="F14" s="22" t="s">
        <v>21</v>
      </c>
      <c r="G14" s="22"/>
      <c r="H14" s="22"/>
      <c r="I14" s="22"/>
      <c r="J14" s="22"/>
      <c r="K14" s="22"/>
      <c r="L14" s="22"/>
      <c r="M14" s="6">
        <f>M12*9%</f>
        <v>35214.709499999997</v>
      </c>
    </row>
    <row r="15" spans="5:13" ht="17.399999999999999" customHeight="1" x14ac:dyDescent="0.35">
      <c r="E15" s="16"/>
      <c r="F15" s="22" t="s">
        <v>23</v>
      </c>
      <c r="G15" s="22"/>
      <c r="H15" s="22"/>
      <c r="I15" s="22"/>
      <c r="J15" s="22"/>
      <c r="K15" s="22"/>
      <c r="L15" s="22"/>
      <c r="M15" s="10"/>
    </row>
    <row r="16" spans="5:13" ht="17.399999999999999" customHeight="1" x14ac:dyDescent="0.35">
      <c r="E16" s="16"/>
      <c r="F16" s="13"/>
      <c r="G16" s="13"/>
      <c r="H16" s="13"/>
      <c r="I16" s="13"/>
      <c r="J16" s="13"/>
      <c r="K16" s="13"/>
      <c r="L16" s="13"/>
      <c r="M16" s="10">
        <f>M12-M15+M13+M14</f>
        <v>461703.96899999998</v>
      </c>
    </row>
    <row r="17" spans="5:13" ht="15.5" x14ac:dyDescent="0.35">
      <c r="E17" s="7"/>
      <c r="F17" s="23" t="s">
        <v>37</v>
      </c>
      <c r="G17" s="23"/>
      <c r="H17" s="23"/>
      <c r="I17" s="23"/>
      <c r="J17" s="23"/>
      <c r="K17" s="23"/>
      <c r="L17" s="23"/>
      <c r="M17" s="23"/>
    </row>
    <row r="18" spans="5:13" ht="15.5" x14ac:dyDescent="0.35">
      <c r="E18" s="16"/>
      <c r="F18" s="24" t="s">
        <v>13</v>
      </c>
      <c r="G18" s="24"/>
      <c r="H18" s="24"/>
      <c r="I18" s="7"/>
      <c r="J18" s="7"/>
      <c r="K18" s="7"/>
      <c r="L18" s="7"/>
      <c r="M18" s="11"/>
    </row>
    <row r="19" spans="5:13" ht="15.5" x14ac:dyDescent="0.35">
      <c r="E19" s="16"/>
      <c r="F19" s="24" t="s">
        <v>22</v>
      </c>
      <c r="G19" s="24"/>
      <c r="H19" s="24"/>
      <c r="I19" s="7"/>
      <c r="J19" s="7"/>
      <c r="K19" s="7"/>
      <c r="L19" s="7"/>
      <c r="M19" s="11"/>
    </row>
    <row r="20" spans="5:13" ht="15.5" x14ac:dyDescent="0.35">
      <c r="E20" s="16"/>
      <c r="F20" s="24" t="s">
        <v>14</v>
      </c>
      <c r="G20" s="24"/>
      <c r="H20" s="24"/>
      <c r="I20" s="7"/>
      <c r="J20" s="7"/>
      <c r="K20" s="7"/>
      <c r="L20" s="7"/>
      <c r="M20" s="18">
        <f>M16-M18-M19</f>
        <v>461703.96899999998</v>
      </c>
    </row>
    <row r="21" spans="5:13" ht="15.5" x14ac:dyDescent="0.35">
      <c r="E21" s="7"/>
      <c r="F21" s="7"/>
      <c r="G21" s="7"/>
      <c r="H21" s="7"/>
      <c r="I21" s="7"/>
      <c r="J21" s="7"/>
      <c r="K21" s="7"/>
      <c r="L21" s="7"/>
      <c r="M21" s="7"/>
    </row>
    <row r="22" spans="5:13" x14ac:dyDescent="0.3">
      <c r="E22" s="25"/>
      <c r="F22" s="25"/>
      <c r="G22" s="25"/>
      <c r="H22" s="25"/>
      <c r="I22" s="25"/>
      <c r="J22" s="25"/>
      <c r="K22" s="25"/>
      <c r="L22" s="25"/>
      <c r="M22" s="25"/>
    </row>
    <row r="23" spans="5:13" x14ac:dyDescent="0.3">
      <c r="E23" s="25"/>
      <c r="F23" s="25"/>
      <c r="G23" s="25"/>
      <c r="H23" s="25"/>
      <c r="I23" s="25"/>
      <c r="J23" s="25"/>
      <c r="K23" s="25"/>
      <c r="L23" s="25"/>
      <c r="M23" s="25"/>
    </row>
    <row r="24" spans="5:13" x14ac:dyDescent="0.3">
      <c r="E24" s="25"/>
      <c r="F24" s="25"/>
      <c r="G24" s="25"/>
      <c r="H24" s="25"/>
      <c r="I24" s="25"/>
      <c r="J24" s="25"/>
      <c r="K24" s="25"/>
      <c r="L24" s="25"/>
      <c r="M24" s="25"/>
    </row>
    <row r="25" spans="5:13" x14ac:dyDescent="0.3">
      <c r="E25" s="20" t="s">
        <v>15</v>
      </c>
      <c r="F25" s="20"/>
      <c r="G25" s="20"/>
      <c r="H25" s="20"/>
      <c r="I25" s="20"/>
      <c r="J25" s="20"/>
      <c r="K25" s="20"/>
      <c r="L25" s="20"/>
      <c r="M25" s="20"/>
    </row>
    <row r="26" spans="5:13" x14ac:dyDescent="0.3">
      <c r="E26" s="20"/>
      <c r="F26" s="20"/>
      <c r="G26" s="20"/>
      <c r="H26" s="20"/>
      <c r="I26" s="20"/>
      <c r="J26" s="20"/>
      <c r="K26" s="20"/>
      <c r="L26" s="20"/>
      <c r="M26" s="20"/>
    </row>
    <row r="27" spans="5:13" x14ac:dyDescent="0.3">
      <c r="E27" s="20"/>
      <c r="F27" s="20"/>
      <c r="G27" s="20"/>
      <c r="H27" s="20"/>
      <c r="I27" s="20"/>
      <c r="J27" s="20"/>
      <c r="K27" s="20"/>
      <c r="L27" s="20"/>
      <c r="M27" s="20"/>
    </row>
    <row r="28" spans="5:13" x14ac:dyDescent="0.3">
      <c r="E28" s="20"/>
      <c r="F28" s="20"/>
      <c r="G28" s="20"/>
      <c r="H28" s="20"/>
      <c r="I28" s="20"/>
      <c r="J28" s="20"/>
      <c r="K28" s="20"/>
      <c r="L28" s="20"/>
      <c r="M28" s="20"/>
    </row>
    <row r="29" spans="5:13" x14ac:dyDescent="0.3">
      <c r="E29" s="20"/>
      <c r="F29" s="20"/>
      <c r="G29" s="20"/>
      <c r="H29" s="20"/>
      <c r="I29" s="20"/>
      <c r="J29" s="20"/>
      <c r="K29" s="20"/>
      <c r="L29" s="20"/>
      <c r="M29" s="20"/>
    </row>
    <row r="30" spans="5:13" x14ac:dyDescent="0.3">
      <c r="E30" s="20"/>
      <c r="F30" s="20"/>
      <c r="G30" s="20"/>
      <c r="H30" s="20"/>
      <c r="I30" s="20"/>
      <c r="J30" s="20"/>
      <c r="K30" s="20"/>
      <c r="L30" s="20"/>
      <c r="M30" s="20"/>
    </row>
    <row r="31" spans="5:13" ht="15.5" x14ac:dyDescent="0.35">
      <c r="E31" s="7"/>
      <c r="F31" s="7"/>
      <c r="G31" s="7"/>
      <c r="H31" s="7"/>
      <c r="I31" s="7"/>
      <c r="J31" s="7"/>
      <c r="K31" s="7"/>
      <c r="L31" s="7"/>
      <c r="M31" s="7"/>
    </row>
    <row r="32" spans="5:13" ht="15.5" x14ac:dyDescent="0.35">
      <c r="E32" s="7"/>
      <c r="F32" s="7"/>
      <c r="G32" s="7"/>
      <c r="H32" s="7"/>
      <c r="I32" s="7"/>
      <c r="J32" s="7"/>
      <c r="K32" s="7"/>
      <c r="L32" s="7"/>
      <c r="M32" s="7"/>
    </row>
  </sheetData>
  <mergeCells count="28">
    <mergeCell ref="E2:M2"/>
    <mergeCell ref="E4:F4"/>
    <mergeCell ref="G4:J4"/>
    <mergeCell ref="K4:L4"/>
    <mergeCell ref="E5:F5"/>
    <mergeCell ref="G5:M5"/>
    <mergeCell ref="F14:L14"/>
    <mergeCell ref="E6:J6"/>
    <mergeCell ref="L6:M6"/>
    <mergeCell ref="E7:F7"/>
    <mergeCell ref="G7:J7"/>
    <mergeCell ref="L7:M7"/>
    <mergeCell ref="E8:F8"/>
    <mergeCell ref="G8:M8"/>
    <mergeCell ref="E9:M9"/>
    <mergeCell ref="F10:H10"/>
    <mergeCell ref="F11:H11"/>
    <mergeCell ref="F12:L12"/>
    <mergeCell ref="F13:L13"/>
    <mergeCell ref="E25:M26"/>
    <mergeCell ref="E27:M28"/>
    <mergeCell ref="E29:M30"/>
    <mergeCell ref="F15:L15"/>
    <mergeCell ref="F17:M17"/>
    <mergeCell ref="F18:H18"/>
    <mergeCell ref="F19:H19"/>
    <mergeCell ref="F20:H20"/>
    <mergeCell ref="E22:M24"/>
  </mergeCells>
  <pageMargins left="0.7" right="0.7" top="0.75" bottom="0.75" header="0.3" footer="0.3"/>
  <pageSetup paperSize="9" scale="58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192A-E262-48A5-9729-56715510EC4D}">
  <sheetPr>
    <pageSetUpPr fitToPage="1"/>
  </sheetPr>
  <dimension ref="E2:M32"/>
  <sheetViews>
    <sheetView topLeftCell="B4" workbookViewId="0">
      <selection activeCell="E2" sqref="E2:M30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2.453125" style="1" customWidth="1"/>
    <col min="14" max="16384" width="8.6328125" style="1"/>
  </cols>
  <sheetData>
    <row r="2" spans="5:13" ht="17.5" x14ac:dyDescent="0.35">
      <c r="E2" s="32" t="s">
        <v>0</v>
      </c>
      <c r="F2" s="32"/>
      <c r="G2" s="32"/>
      <c r="H2" s="32"/>
      <c r="I2" s="32"/>
      <c r="J2" s="32"/>
      <c r="K2" s="32"/>
      <c r="L2" s="32"/>
      <c r="M2" s="32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33" t="s">
        <v>16</v>
      </c>
      <c r="F4" s="33"/>
      <c r="G4" s="24" t="s">
        <v>26</v>
      </c>
      <c r="H4" s="24"/>
      <c r="I4" s="24"/>
      <c r="J4" s="24"/>
      <c r="K4" s="34" t="s">
        <v>19</v>
      </c>
      <c r="L4" s="34"/>
      <c r="M4" s="7">
        <v>40</v>
      </c>
    </row>
    <row r="5" spans="5:13" ht="18.899999999999999" customHeight="1" x14ac:dyDescent="0.3">
      <c r="E5" s="20" t="s">
        <v>1</v>
      </c>
      <c r="F5" s="20"/>
      <c r="G5" s="25" t="s">
        <v>27</v>
      </c>
      <c r="H5" s="25"/>
      <c r="I5" s="25"/>
      <c r="J5" s="25"/>
      <c r="K5" s="25"/>
      <c r="L5" s="25"/>
      <c r="M5" s="25"/>
    </row>
    <row r="6" spans="5:13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45707</v>
      </c>
      <c r="M6" s="30"/>
    </row>
    <row r="7" spans="5:13" ht="20.149999999999999" customHeight="1" x14ac:dyDescent="0.3">
      <c r="E7" s="31" t="s">
        <v>3</v>
      </c>
      <c r="F7" s="31"/>
      <c r="G7" s="27" t="s">
        <v>40</v>
      </c>
      <c r="H7" s="27"/>
      <c r="I7" s="27"/>
      <c r="J7" s="27"/>
      <c r="K7" s="14" t="s">
        <v>17</v>
      </c>
      <c r="L7" s="29">
        <v>45705</v>
      </c>
      <c r="M7" s="30"/>
    </row>
    <row r="8" spans="5:13" ht="18.899999999999999" customHeight="1" x14ac:dyDescent="0.3">
      <c r="E8" s="20" t="s">
        <v>5</v>
      </c>
      <c r="F8" s="20"/>
      <c r="G8" s="25" t="s">
        <v>28</v>
      </c>
      <c r="H8" s="25"/>
      <c r="I8" s="25"/>
      <c r="J8" s="25"/>
      <c r="K8" s="25"/>
      <c r="L8" s="25"/>
      <c r="M8" s="25"/>
    </row>
    <row r="9" spans="5:13" ht="20.399999999999999" customHeight="1" x14ac:dyDescent="0.3">
      <c r="E9" s="20" t="s">
        <v>4</v>
      </c>
      <c r="F9" s="20"/>
      <c r="G9" s="20"/>
      <c r="H9" s="20"/>
      <c r="I9" s="20"/>
      <c r="J9" s="20"/>
      <c r="K9" s="20"/>
      <c r="L9" s="20"/>
      <c r="M9" s="20"/>
    </row>
    <row r="10" spans="5:13" ht="30" x14ac:dyDescent="0.3">
      <c r="E10" s="2" t="s">
        <v>12</v>
      </c>
      <c r="F10" s="26" t="s">
        <v>6</v>
      </c>
      <c r="G10" s="26"/>
      <c r="H10" s="26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46" customHeight="1" x14ac:dyDescent="0.3">
      <c r="E11" s="4">
        <v>1</v>
      </c>
      <c r="F11" s="27" t="s">
        <v>38</v>
      </c>
      <c r="G11" s="27"/>
      <c r="H11" s="27"/>
      <c r="I11" s="5">
        <v>1</v>
      </c>
      <c r="J11" s="12">
        <v>2808</v>
      </c>
      <c r="K11" s="17" t="s">
        <v>25</v>
      </c>
      <c r="L11" s="4">
        <v>135</v>
      </c>
      <c r="M11" s="9">
        <f>J11*L11*I11</f>
        <v>379080</v>
      </c>
    </row>
    <row r="12" spans="5:13" ht="17.399999999999999" customHeight="1" x14ac:dyDescent="0.35">
      <c r="E12" s="16"/>
      <c r="F12" s="21" t="s">
        <v>18</v>
      </c>
      <c r="G12" s="21"/>
      <c r="H12" s="21"/>
      <c r="I12" s="21"/>
      <c r="J12" s="21"/>
      <c r="K12" s="21"/>
      <c r="L12" s="21"/>
      <c r="M12" s="10">
        <f>SUM(M11:M11)</f>
        <v>379080</v>
      </c>
    </row>
    <row r="13" spans="5:13" ht="17.399999999999999" customHeight="1" x14ac:dyDescent="0.35">
      <c r="E13" s="16"/>
      <c r="F13" s="22" t="s">
        <v>20</v>
      </c>
      <c r="G13" s="22"/>
      <c r="H13" s="22"/>
      <c r="I13" s="22"/>
      <c r="J13" s="22"/>
      <c r="K13" s="22"/>
      <c r="L13" s="22"/>
      <c r="M13" s="6">
        <f>M12*9%</f>
        <v>34117.199999999997</v>
      </c>
    </row>
    <row r="14" spans="5:13" ht="17.399999999999999" customHeight="1" x14ac:dyDescent="0.35">
      <c r="E14" s="16"/>
      <c r="F14" s="22" t="s">
        <v>21</v>
      </c>
      <c r="G14" s="22"/>
      <c r="H14" s="22"/>
      <c r="I14" s="22"/>
      <c r="J14" s="22"/>
      <c r="K14" s="22"/>
      <c r="L14" s="22"/>
      <c r="M14" s="6">
        <f>M12*9%</f>
        <v>34117.199999999997</v>
      </c>
    </row>
    <row r="15" spans="5:13" ht="17.399999999999999" customHeight="1" x14ac:dyDescent="0.35">
      <c r="E15" s="16"/>
      <c r="F15" s="22" t="s">
        <v>23</v>
      </c>
      <c r="G15" s="22"/>
      <c r="H15" s="22"/>
      <c r="I15" s="22"/>
      <c r="J15" s="22"/>
      <c r="K15" s="22"/>
      <c r="L15" s="22"/>
      <c r="M15" s="10"/>
    </row>
    <row r="16" spans="5:13" ht="17.399999999999999" customHeight="1" x14ac:dyDescent="0.35">
      <c r="E16" s="16"/>
      <c r="F16" s="13"/>
      <c r="G16" s="13"/>
      <c r="H16" s="13"/>
      <c r="I16" s="13"/>
      <c r="J16" s="13"/>
      <c r="K16" s="13"/>
      <c r="L16" s="13"/>
      <c r="M16" s="10">
        <f>M12-M15+M13+M14</f>
        <v>447314.4</v>
      </c>
    </row>
    <row r="17" spans="5:13" ht="15.5" x14ac:dyDescent="0.35">
      <c r="E17" s="7"/>
      <c r="F17" s="23" t="s">
        <v>39</v>
      </c>
      <c r="G17" s="23"/>
      <c r="H17" s="23"/>
      <c r="I17" s="23"/>
      <c r="J17" s="23"/>
      <c r="K17" s="23"/>
      <c r="L17" s="23"/>
      <c r="M17" s="23"/>
    </row>
    <row r="18" spans="5:13" ht="15.5" x14ac:dyDescent="0.35">
      <c r="E18" s="16"/>
      <c r="F18" s="24" t="s">
        <v>13</v>
      </c>
      <c r="G18" s="24"/>
      <c r="H18" s="24"/>
      <c r="I18" s="7"/>
      <c r="J18" s="7"/>
      <c r="K18" s="7"/>
      <c r="L18" s="7"/>
      <c r="M18" s="11"/>
    </row>
    <row r="19" spans="5:13" ht="15.5" x14ac:dyDescent="0.35">
      <c r="E19" s="16"/>
      <c r="F19" s="24" t="s">
        <v>22</v>
      </c>
      <c r="G19" s="24"/>
      <c r="H19" s="24"/>
      <c r="I19" s="7"/>
      <c r="J19" s="7"/>
      <c r="K19" s="7"/>
      <c r="L19" s="7"/>
      <c r="M19" s="11"/>
    </row>
    <row r="20" spans="5:13" ht="15.5" x14ac:dyDescent="0.35">
      <c r="E20" s="16"/>
      <c r="F20" s="24" t="s">
        <v>14</v>
      </c>
      <c r="G20" s="24"/>
      <c r="H20" s="24"/>
      <c r="I20" s="7"/>
      <c r="J20" s="7"/>
      <c r="K20" s="7"/>
      <c r="L20" s="7"/>
      <c r="M20" s="18">
        <f>M16-M18-M19</f>
        <v>447314.4</v>
      </c>
    </row>
    <row r="21" spans="5:13" ht="15.5" x14ac:dyDescent="0.35">
      <c r="E21" s="7"/>
      <c r="F21" s="7"/>
      <c r="G21" s="7"/>
      <c r="H21" s="7"/>
      <c r="I21" s="7"/>
      <c r="J21" s="7"/>
      <c r="K21" s="7"/>
      <c r="L21" s="7"/>
      <c r="M21" s="7"/>
    </row>
    <row r="22" spans="5:13" x14ac:dyDescent="0.3">
      <c r="E22" s="25"/>
      <c r="F22" s="25"/>
      <c r="G22" s="25"/>
      <c r="H22" s="25"/>
      <c r="I22" s="25"/>
      <c r="J22" s="25"/>
      <c r="K22" s="25"/>
      <c r="L22" s="25"/>
      <c r="M22" s="25"/>
    </row>
    <row r="23" spans="5:13" x14ac:dyDescent="0.3">
      <c r="E23" s="25"/>
      <c r="F23" s="25"/>
      <c r="G23" s="25"/>
      <c r="H23" s="25"/>
      <c r="I23" s="25"/>
      <c r="J23" s="25"/>
      <c r="K23" s="25"/>
      <c r="L23" s="25"/>
      <c r="M23" s="25"/>
    </row>
    <row r="24" spans="5:13" x14ac:dyDescent="0.3">
      <c r="E24" s="25"/>
      <c r="F24" s="25"/>
      <c r="G24" s="25"/>
      <c r="H24" s="25"/>
      <c r="I24" s="25"/>
      <c r="J24" s="25"/>
      <c r="K24" s="25"/>
      <c r="L24" s="25"/>
      <c r="M24" s="25"/>
    </row>
    <row r="25" spans="5:13" x14ac:dyDescent="0.3">
      <c r="E25" s="20" t="s">
        <v>15</v>
      </c>
      <c r="F25" s="20"/>
      <c r="G25" s="20"/>
      <c r="H25" s="20"/>
      <c r="I25" s="20"/>
      <c r="J25" s="20"/>
      <c r="K25" s="20"/>
      <c r="L25" s="20"/>
      <c r="M25" s="20"/>
    </row>
    <row r="26" spans="5:13" x14ac:dyDescent="0.3">
      <c r="E26" s="20"/>
      <c r="F26" s="20"/>
      <c r="G26" s="20"/>
      <c r="H26" s="20"/>
      <c r="I26" s="20"/>
      <c r="J26" s="20"/>
      <c r="K26" s="20"/>
      <c r="L26" s="20"/>
      <c r="M26" s="20"/>
    </row>
    <row r="27" spans="5:13" x14ac:dyDescent="0.3">
      <c r="E27" s="20"/>
      <c r="F27" s="20"/>
      <c r="G27" s="20"/>
      <c r="H27" s="20"/>
      <c r="I27" s="20"/>
      <c r="J27" s="20"/>
      <c r="K27" s="20"/>
      <c r="L27" s="20"/>
      <c r="M27" s="20"/>
    </row>
    <row r="28" spans="5:13" x14ac:dyDescent="0.3">
      <c r="E28" s="20"/>
      <c r="F28" s="20"/>
      <c r="G28" s="20"/>
      <c r="H28" s="20"/>
      <c r="I28" s="20"/>
      <c r="J28" s="20"/>
      <c r="K28" s="20"/>
      <c r="L28" s="20"/>
      <c r="M28" s="20"/>
    </row>
    <row r="29" spans="5:13" x14ac:dyDescent="0.3">
      <c r="E29" s="20"/>
      <c r="F29" s="20"/>
      <c r="G29" s="20"/>
      <c r="H29" s="20"/>
      <c r="I29" s="20"/>
      <c r="J29" s="20"/>
      <c r="K29" s="20"/>
      <c r="L29" s="20"/>
      <c r="M29" s="20"/>
    </row>
    <row r="30" spans="5:13" x14ac:dyDescent="0.3">
      <c r="E30" s="20"/>
      <c r="F30" s="20"/>
      <c r="G30" s="20"/>
      <c r="H30" s="20"/>
      <c r="I30" s="20"/>
      <c r="J30" s="20"/>
      <c r="K30" s="20"/>
      <c r="L30" s="20"/>
      <c r="M30" s="20"/>
    </row>
    <row r="31" spans="5:13" ht="15.5" x14ac:dyDescent="0.35">
      <c r="E31" s="7"/>
      <c r="F31" s="7"/>
      <c r="G31" s="7"/>
      <c r="H31" s="7"/>
      <c r="I31" s="7"/>
      <c r="J31" s="7"/>
      <c r="K31" s="7"/>
      <c r="L31" s="7"/>
      <c r="M31" s="7"/>
    </row>
    <row r="32" spans="5:13" ht="15.5" x14ac:dyDescent="0.35">
      <c r="E32" s="7"/>
      <c r="F32" s="7"/>
      <c r="G32" s="7"/>
      <c r="H32" s="7"/>
      <c r="I32" s="7"/>
      <c r="J32" s="7"/>
      <c r="K32" s="7"/>
      <c r="L32" s="7"/>
      <c r="M32" s="7"/>
    </row>
  </sheetData>
  <mergeCells count="28">
    <mergeCell ref="E25:M26"/>
    <mergeCell ref="E27:M28"/>
    <mergeCell ref="E29:M30"/>
    <mergeCell ref="F15:L15"/>
    <mergeCell ref="F17:M17"/>
    <mergeCell ref="F18:H18"/>
    <mergeCell ref="F19:H19"/>
    <mergeCell ref="F20:H20"/>
    <mergeCell ref="E22:M24"/>
    <mergeCell ref="F14:L14"/>
    <mergeCell ref="E6:J6"/>
    <mergeCell ref="L6:M6"/>
    <mergeCell ref="E7:F7"/>
    <mergeCell ref="G7:J7"/>
    <mergeCell ref="L7:M7"/>
    <mergeCell ref="E8:F8"/>
    <mergeCell ref="G8:M8"/>
    <mergeCell ref="E9:M9"/>
    <mergeCell ref="F10:H10"/>
    <mergeCell ref="F11:H11"/>
    <mergeCell ref="F12:L12"/>
    <mergeCell ref="F13:L13"/>
    <mergeCell ref="E2:M2"/>
    <mergeCell ref="E4:F4"/>
    <mergeCell ref="G4:J4"/>
    <mergeCell ref="K4:L4"/>
    <mergeCell ref="E5:F5"/>
    <mergeCell ref="G5:M5"/>
  </mergeCells>
  <pageMargins left="0.7" right="0.7" top="0.75" bottom="0.75" header="0.3" footer="0.3"/>
  <pageSetup paperSize="9" scale="58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EFCEE-1237-49E3-A6D1-BF4501C12C7C}">
  <sheetPr>
    <pageSetUpPr fitToPage="1"/>
  </sheetPr>
  <dimension ref="E2:O32"/>
  <sheetViews>
    <sheetView topLeftCell="B7" workbookViewId="0">
      <selection activeCell="O12" sqref="O12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2.453125" style="1" customWidth="1"/>
    <col min="14" max="14" width="8.6328125" style="1"/>
    <col min="15" max="15" width="10" style="1" bestFit="1" customWidth="1"/>
    <col min="16" max="16384" width="8.6328125" style="1"/>
  </cols>
  <sheetData>
    <row r="2" spans="5:15" ht="17.5" x14ac:dyDescent="0.35">
      <c r="E2" s="32" t="s">
        <v>0</v>
      </c>
      <c r="F2" s="32"/>
      <c r="G2" s="32"/>
      <c r="H2" s="32"/>
      <c r="I2" s="32"/>
      <c r="J2" s="32"/>
      <c r="K2" s="32"/>
      <c r="L2" s="32"/>
      <c r="M2" s="32"/>
    </row>
    <row r="3" spans="5:15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5" ht="15.5" x14ac:dyDescent="0.35">
      <c r="E4" s="33" t="s">
        <v>16</v>
      </c>
      <c r="F4" s="33"/>
      <c r="G4" s="24" t="s">
        <v>26</v>
      </c>
      <c r="H4" s="24"/>
      <c r="I4" s="24"/>
      <c r="J4" s="24"/>
      <c r="K4" s="34" t="s">
        <v>19</v>
      </c>
      <c r="L4" s="34"/>
      <c r="M4" s="7">
        <v>41</v>
      </c>
    </row>
    <row r="5" spans="5:15" ht="18.899999999999999" customHeight="1" x14ac:dyDescent="0.3">
      <c r="E5" s="20" t="s">
        <v>1</v>
      </c>
      <c r="F5" s="20"/>
      <c r="G5" s="25" t="s">
        <v>27</v>
      </c>
      <c r="H5" s="25"/>
      <c r="I5" s="25"/>
      <c r="J5" s="25"/>
      <c r="K5" s="25"/>
      <c r="L5" s="25"/>
      <c r="M5" s="25"/>
    </row>
    <row r="6" spans="5:15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45707</v>
      </c>
      <c r="M6" s="30"/>
    </row>
    <row r="7" spans="5:15" ht="20.149999999999999" customHeight="1" x14ac:dyDescent="0.3">
      <c r="E7" s="31" t="s">
        <v>3</v>
      </c>
      <c r="F7" s="31"/>
      <c r="G7" s="27" t="s">
        <v>41</v>
      </c>
      <c r="H7" s="27"/>
      <c r="I7" s="27"/>
      <c r="J7" s="27"/>
      <c r="K7" s="14" t="s">
        <v>17</v>
      </c>
      <c r="L7" s="29">
        <v>45705</v>
      </c>
      <c r="M7" s="30"/>
    </row>
    <row r="8" spans="5:15" ht="18.899999999999999" customHeight="1" x14ac:dyDescent="0.3">
      <c r="E8" s="20" t="s">
        <v>5</v>
      </c>
      <c r="F8" s="20"/>
      <c r="G8" s="25" t="s">
        <v>28</v>
      </c>
      <c r="H8" s="25"/>
      <c r="I8" s="25"/>
      <c r="J8" s="25"/>
      <c r="K8" s="25"/>
      <c r="L8" s="25"/>
      <c r="M8" s="25"/>
    </row>
    <row r="9" spans="5:15" ht="20.399999999999999" customHeight="1" x14ac:dyDescent="0.3">
      <c r="E9" s="20" t="s">
        <v>4</v>
      </c>
      <c r="F9" s="20"/>
      <c r="G9" s="20"/>
      <c r="H9" s="20"/>
      <c r="I9" s="20"/>
      <c r="J9" s="20"/>
      <c r="K9" s="20"/>
      <c r="L9" s="20"/>
      <c r="M9" s="20"/>
    </row>
    <row r="10" spans="5:15" ht="30" x14ac:dyDescent="0.3">
      <c r="E10" s="2" t="s">
        <v>12</v>
      </c>
      <c r="F10" s="26" t="s">
        <v>6</v>
      </c>
      <c r="G10" s="26"/>
      <c r="H10" s="26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5" ht="46" customHeight="1" x14ac:dyDescent="0.3">
      <c r="E11" s="4">
        <v>1</v>
      </c>
      <c r="F11" s="27" t="s">
        <v>42</v>
      </c>
      <c r="G11" s="27"/>
      <c r="H11" s="27"/>
      <c r="I11" s="5">
        <v>1</v>
      </c>
      <c r="J11" s="12">
        <v>738</v>
      </c>
      <c r="K11" s="17" t="s">
        <v>25</v>
      </c>
      <c r="L11" s="4">
        <v>135</v>
      </c>
      <c r="M11" s="9">
        <f>J11*L11*I11</f>
        <v>99630</v>
      </c>
    </row>
    <row r="12" spans="5:15" ht="17.399999999999999" customHeight="1" x14ac:dyDescent="0.35">
      <c r="E12" s="16"/>
      <c r="F12" s="21" t="s">
        <v>18</v>
      </c>
      <c r="G12" s="21"/>
      <c r="H12" s="21"/>
      <c r="I12" s="21"/>
      <c r="J12" s="21"/>
      <c r="K12" s="21"/>
      <c r="L12" s="21"/>
      <c r="M12" s="10">
        <f>SUM(M11:M11)</f>
        <v>99630</v>
      </c>
      <c r="O12" s="19"/>
    </row>
    <row r="13" spans="5:15" ht="17.399999999999999" customHeight="1" x14ac:dyDescent="0.35">
      <c r="E13" s="16"/>
      <c r="F13" s="22" t="s">
        <v>20</v>
      </c>
      <c r="G13" s="22"/>
      <c r="H13" s="22"/>
      <c r="I13" s="22"/>
      <c r="J13" s="22"/>
      <c r="K13" s="22"/>
      <c r="L13" s="22"/>
      <c r="M13" s="6">
        <f>M12*9%</f>
        <v>8966.6999999999989</v>
      </c>
    </row>
    <row r="14" spans="5:15" ht="17.399999999999999" customHeight="1" x14ac:dyDescent="0.35">
      <c r="E14" s="16"/>
      <c r="F14" s="22" t="s">
        <v>21</v>
      </c>
      <c r="G14" s="22"/>
      <c r="H14" s="22"/>
      <c r="I14" s="22"/>
      <c r="J14" s="22"/>
      <c r="K14" s="22"/>
      <c r="L14" s="22"/>
      <c r="M14" s="6">
        <f>M12*9%</f>
        <v>8966.6999999999989</v>
      </c>
    </row>
    <row r="15" spans="5:15" ht="17.399999999999999" customHeight="1" x14ac:dyDescent="0.35">
      <c r="E15" s="16"/>
      <c r="F15" s="22" t="s">
        <v>23</v>
      </c>
      <c r="G15" s="22"/>
      <c r="H15" s="22"/>
      <c r="I15" s="22"/>
      <c r="J15" s="22"/>
      <c r="K15" s="22"/>
      <c r="L15" s="22"/>
      <c r="M15" s="10"/>
    </row>
    <row r="16" spans="5:15" ht="17.399999999999999" customHeight="1" x14ac:dyDescent="0.35">
      <c r="E16" s="16"/>
      <c r="F16" s="13"/>
      <c r="G16" s="13"/>
      <c r="H16" s="13"/>
      <c r="I16" s="13"/>
      <c r="J16" s="13"/>
      <c r="K16" s="13"/>
      <c r="L16" s="13"/>
      <c r="M16" s="10">
        <f>M12-M15+M13+M14</f>
        <v>117563.4</v>
      </c>
    </row>
    <row r="17" spans="5:13" ht="15.5" x14ac:dyDescent="0.35">
      <c r="E17" s="7"/>
      <c r="F17" s="23" t="s">
        <v>43</v>
      </c>
      <c r="G17" s="23"/>
      <c r="H17" s="23"/>
      <c r="I17" s="23"/>
      <c r="J17" s="23"/>
      <c r="K17" s="23"/>
      <c r="L17" s="23"/>
      <c r="M17" s="23"/>
    </row>
    <row r="18" spans="5:13" ht="15.5" x14ac:dyDescent="0.35">
      <c r="E18" s="16"/>
      <c r="F18" s="24" t="s">
        <v>13</v>
      </c>
      <c r="G18" s="24"/>
      <c r="H18" s="24"/>
      <c r="I18" s="7"/>
      <c r="J18" s="7"/>
      <c r="K18" s="7"/>
      <c r="L18" s="7"/>
      <c r="M18" s="11"/>
    </row>
    <row r="19" spans="5:13" ht="15.5" x14ac:dyDescent="0.35">
      <c r="E19" s="16"/>
      <c r="F19" s="24" t="s">
        <v>22</v>
      </c>
      <c r="G19" s="24"/>
      <c r="H19" s="24"/>
      <c r="I19" s="7"/>
      <c r="J19" s="7"/>
      <c r="K19" s="7"/>
      <c r="L19" s="7"/>
      <c r="M19" s="11"/>
    </row>
    <row r="20" spans="5:13" ht="15.5" x14ac:dyDescent="0.35">
      <c r="E20" s="16"/>
      <c r="F20" s="24" t="s">
        <v>14</v>
      </c>
      <c r="G20" s="24"/>
      <c r="H20" s="24"/>
      <c r="I20" s="7"/>
      <c r="J20" s="7"/>
      <c r="K20" s="7"/>
      <c r="L20" s="7"/>
      <c r="M20" s="18">
        <f>M16-M18-M19</f>
        <v>117563.4</v>
      </c>
    </row>
    <row r="21" spans="5:13" ht="15.5" x14ac:dyDescent="0.35">
      <c r="E21" s="7"/>
      <c r="F21" s="7"/>
      <c r="G21" s="7"/>
      <c r="H21" s="7"/>
      <c r="I21" s="7"/>
      <c r="J21" s="7"/>
      <c r="K21" s="7"/>
      <c r="L21" s="7"/>
      <c r="M21" s="7"/>
    </row>
    <row r="22" spans="5:13" x14ac:dyDescent="0.3">
      <c r="E22" s="25"/>
      <c r="F22" s="25"/>
      <c r="G22" s="25"/>
      <c r="H22" s="25"/>
      <c r="I22" s="25"/>
      <c r="J22" s="25"/>
      <c r="K22" s="25"/>
      <c r="L22" s="25"/>
      <c r="M22" s="25"/>
    </row>
    <row r="23" spans="5:13" x14ac:dyDescent="0.3">
      <c r="E23" s="25"/>
      <c r="F23" s="25"/>
      <c r="G23" s="25"/>
      <c r="H23" s="25"/>
      <c r="I23" s="25"/>
      <c r="J23" s="25"/>
      <c r="K23" s="25"/>
      <c r="L23" s="25"/>
      <c r="M23" s="25"/>
    </row>
    <row r="24" spans="5:13" x14ac:dyDescent="0.3">
      <c r="E24" s="25"/>
      <c r="F24" s="25"/>
      <c r="G24" s="25"/>
      <c r="H24" s="25"/>
      <c r="I24" s="25"/>
      <c r="J24" s="25"/>
      <c r="K24" s="25"/>
      <c r="L24" s="25"/>
      <c r="M24" s="25"/>
    </row>
    <row r="25" spans="5:13" x14ac:dyDescent="0.3">
      <c r="E25" s="20" t="s">
        <v>15</v>
      </c>
      <c r="F25" s="20"/>
      <c r="G25" s="20"/>
      <c r="H25" s="20"/>
      <c r="I25" s="20"/>
      <c r="J25" s="20"/>
      <c r="K25" s="20"/>
      <c r="L25" s="20"/>
      <c r="M25" s="20"/>
    </row>
    <row r="26" spans="5:13" x14ac:dyDescent="0.3">
      <c r="E26" s="20"/>
      <c r="F26" s="20"/>
      <c r="G26" s="20"/>
      <c r="H26" s="20"/>
      <c r="I26" s="20"/>
      <c r="J26" s="20"/>
      <c r="K26" s="20"/>
      <c r="L26" s="20"/>
      <c r="M26" s="20"/>
    </row>
    <row r="27" spans="5:13" x14ac:dyDescent="0.3">
      <c r="E27" s="20"/>
      <c r="F27" s="20"/>
      <c r="G27" s="20"/>
      <c r="H27" s="20"/>
      <c r="I27" s="20"/>
      <c r="J27" s="20"/>
      <c r="K27" s="20"/>
      <c r="L27" s="20"/>
      <c r="M27" s="20"/>
    </row>
    <row r="28" spans="5:13" x14ac:dyDescent="0.3">
      <c r="E28" s="20"/>
      <c r="F28" s="20"/>
      <c r="G28" s="20"/>
      <c r="H28" s="20"/>
      <c r="I28" s="20"/>
      <c r="J28" s="20"/>
      <c r="K28" s="20"/>
      <c r="L28" s="20"/>
      <c r="M28" s="20"/>
    </row>
    <row r="29" spans="5:13" x14ac:dyDescent="0.3">
      <c r="E29" s="20"/>
      <c r="F29" s="20"/>
      <c r="G29" s="20"/>
      <c r="H29" s="20"/>
      <c r="I29" s="20"/>
      <c r="J29" s="20"/>
      <c r="K29" s="20"/>
      <c r="L29" s="20"/>
      <c r="M29" s="20"/>
    </row>
    <row r="30" spans="5:13" x14ac:dyDescent="0.3">
      <c r="E30" s="20"/>
      <c r="F30" s="20"/>
      <c r="G30" s="20"/>
      <c r="H30" s="20"/>
      <c r="I30" s="20"/>
      <c r="J30" s="20"/>
      <c r="K30" s="20"/>
      <c r="L30" s="20"/>
      <c r="M30" s="20"/>
    </row>
    <row r="31" spans="5:13" ht="15.5" x14ac:dyDescent="0.35">
      <c r="E31" s="7"/>
      <c r="F31" s="7"/>
      <c r="G31" s="7"/>
      <c r="H31" s="7"/>
      <c r="I31" s="7"/>
      <c r="J31" s="7"/>
      <c r="K31" s="7"/>
      <c r="L31" s="7"/>
      <c r="M31" s="7"/>
    </row>
    <row r="32" spans="5:13" ht="15.5" x14ac:dyDescent="0.35">
      <c r="E32" s="7"/>
      <c r="F32" s="7"/>
      <c r="G32" s="7"/>
      <c r="H32" s="7"/>
      <c r="I32" s="7"/>
      <c r="J32" s="7"/>
      <c r="K32" s="7"/>
      <c r="L32" s="7"/>
      <c r="M32" s="7"/>
    </row>
  </sheetData>
  <mergeCells count="28">
    <mergeCell ref="E25:M26"/>
    <mergeCell ref="E27:M28"/>
    <mergeCell ref="E29:M30"/>
    <mergeCell ref="F15:L15"/>
    <mergeCell ref="F17:M17"/>
    <mergeCell ref="F18:H18"/>
    <mergeCell ref="F19:H19"/>
    <mergeCell ref="F20:H20"/>
    <mergeCell ref="E22:M24"/>
    <mergeCell ref="F14:L14"/>
    <mergeCell ref="E6:J6"/>
    <mergeCell ref="L6:M6"/>
    <mergeCell ref="E7:F7"/>
    <mergeCell ref="G7:J7"/>
    <mergeCell ref="L7:M7"/>
    <mergeCell ref="E8:F8"/>
    <mergeCell ref="G8:M8"/>
    <mergeCell ref="E9:M9"/>
    <mergeCell ref="F10:H10"/>
    <mergeCell ref="F11:H11"/>
    <mergeCell ref="F12:L12"/>
    <mergeCell ref="F13:L13"/>
    <mergeCell ref="E2:M2"/>
    <mergeCell ref="E4:F4"/>
    <mergeCell ref="G4:J4"/>
    <mergeCell ref="K4:L4"/>
    <mergeCell ref="E5:F5"/>
    <mergeCell ref="G5:M5"/>
  </mergeCells>
  <pageMargins left="0.7" right="0.7" top="0.75" bottom="0.75" header="0.3" footer="0.3"/>
  <pageSetup paperSize="9" scale="58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6A20-651C-459F-97CA-83BEA22E1AB7}">
  <sheetPr>
    <pageSetUpPr fitToPage="1"/>
  </sheetPr>
  <dimension ref="E2:O33"/>
  <sheetViews>
    <sheetView tabSelected="1" topLeftCell="B13" workbookViewId="0">
      <selection activeCell="O21" sqref="O21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2.453125" style="1" customWidth="1"/>
    <col min="14" max="14" width="8.6328125" style="1"/>
    <col min="15" max="15" width="10" style="1" bestFit="1" customWidth="1"/>
    <col min="16" max="16384" width="8.6328125" style="1"/>
  </cols>
  <sheetData>
    <row r="2" spans="5:15" ht="17.5" x14ac:dyDescent="0.35">
      <c r="E2" s="32" t="s">
        <v>0</v>
      </c>
      <c r="F2" s="32"/>
      <c r="G2" s="32"/>
      <c r="H2" s="32"/>
      <c r="I2" s="32"/>
      <c r="J2" s="32"/>
      <c r="K2" s="32"/>
      <c r="L2" s="32"/>
      <c r="M2" s="32"/>
    </row>
    <row r="3" spans="5:15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5" ht="15.5" x14ac:dyDescent="0.35">
      <c r="E4" s="33" t="s">
        <v>16</v>
      </c>
      <c r="F4" s="33"/>
      <c r="G4" s="24" t="s">
        <v>26</v>
      </c>
      <c r="H4" s="24"/>
      <c r="I4" s="24"/>
      <c r="J4" s="24"/>
      <c r="K4" s="34" t="s">
        <v>19</v>
      </c>
      <c r="L4" s="34"/>
      <c r="M4" s="7" t="s">
        <v>44</v>
      </c>
    </row>
    <row r="5" spans="5:15" ht="18.899999999999999" customHeight="1" x14ac:dyDescent="0.3">
      <c r="E5" s="20" t="s">
        <v>1</v>
      </c>
      <c r="F5" s="20"/>
      <c r="G5" s="25" t="s">
        <v>27</v>
      </c>
      <c r="H5" s="25"/>
      <c r="I5" s="25"/>
      <c r="J5" s="25"/>
      <c r="K5" s="25"/>
      <c r="L5" s="25"/>
      <c r="M5" s="25"/>
    </row>
    <row r="6" spans="5:15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45861</v>
      </c>
      <c r="M6" s="30"/>
    </row>
    <row r="7" spans="5:15" ht="20.149999999999999" customHeight="1" x14ac:dyDescent="0.3">
      <c r="E7" s="31" t="s">
        <v>3</v>
      </c>
      <c r="F7" s="31"/>
      <c r="G7" s="27" t="s">
        <v>41</v>
      </c>
      <c r="H7" s="27"/>
      <c r="I7" s="27"/>
      <c r="J7" s="27"/>
      <c r="K7" s="14" t="s">
        <v>17</v>
      </c>
      <c r="L7" s="29">
        <v>45839</v>
      </c>
      <c r="M7" s="30"/>
    </row>
    <row r="8" spans="5:15" ht="18.899999999999999" customHeight="1" x14ac:dyDescent="0.3">
      <c r="E8" s="20" t="s">
        <v>5</v>
      </c>
      <c r="F8" s="20"/>
      <c r="G8" s="25" t="s">
        <v>28</v>
      </c>
      <c r="H8" s="25"/>
      <c r="I8" s="25"/>
      <c r="J8" s="25"/>
      <c r="K8" s="25"/>
      <c r="L8" s="25"/>
      <c r="M8" s="25"/>
    </row>
    <row r="9" spans="5:15" ht="20.399999999999999" customHeight="1" x14ac:dyDescent="0.3">
      <c r="E9" s="20" t="s">
        <v>4</v>
      </c>
      <c r="F9" s="20"/>
      <c r="G9" s="20"/>
      <c r="H9" s="20"/>
      <c r="I9" s="20"/>
      <c r="J9" s="20"/>
      <c r="K9" s="20"/>
      <c r="L9" s="20"/>
      <c r="M9" s="20"/>
    </row>
    <row r="10" spans="5:15" ht="30" x14ac:dyDescent="0.3">
      <c r="E10" s="2" t="s">
        <v>12</v>
      </c>
      <c r="F10" s="26" t="s">
        <v>6</v>
      </c>
      <c r="G10" s="26"/>
      <c r="H10" s="26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5" ht="46" customHeight="1" x14ac:dyDescent="0.3">
      <c r="E11" s="4">
        <v>1</v>
      </c>
      <c r="F11" s="27" t="s">
        <v>42</v>
      </c>
      <c r="G11" s="27"/>
      <c r="H11" s="27"/>
      <c r="I11" s="5">
        <v>1</v>
      </c>
      <c r="J11" s="12">
        <v>1607.143</v>
      </c>
      <c r="K11" s="17" t="s">
        <v>25</v>
      </c>
      <c r="L11" s="4">
        <v>135</v>
      </c>
      <c r="M11" s="9">
        <f>J11*L11*I11</f>
        <v>216964.30499999999</v>
      </c>
    </row>
    <row r="12" spans="5:15" ht="17.399999999999999" customHeight="1" x14ac:dyDescent="0.35">
      <c r="E12" s="16"/>
      <c r="F12" s="21" t="s">
        <v>18</v>
      </c>
      <c r="G12" s="21"/>
      <c r="H12" s="21"/>
      <c r="I12" s="21"/>
      <c r="J12" s="21"/>
      <c r="K12" s="21"/>
      <c r="L12" s="21"/>
      <c r="M12" s="10">
        <f>SUM(M11:M11)</f>
        <v>216964.30499999999</v>
      </c>
      <c r="O12" s="19"/>
    </row>
    <row r="13" spans="5:15" ht="17.399999999999999" customHeight="1" x14ac:dyDescent="0.35">
      <c r="E13" s="16"/>
      <c r="F13" s="22" t="s">
        <v>20</v>
      </c>
      <c r="G13" s="22"/>
      <c r="H13" s="22"/>
      <c r="I13" s="22"/>
      <c r="J13" s="22"/>
      <c r="K13" s="22"/>
      <c r="L13" s="22"/>
      <c r="M13" s="6">
        <f>M12*9%</f>
        <v>19526.78745</v>
      </c>
    </row>
    <row r="14" spans="5:15" ht="17.399999999999999" customHeight="1" x14ac:dyDescent="0.35">
      <c r="E14" s="16"/>
      <c r="F14" s="22" t="s">
        <v>21</v>
      </c>
      <c r="G14" s="22"/>
      <c r="H14" s="22"/>
      <c r="I14" s="22"/>
      <c r="J14" s="22"/>
      <c r="K14" s="22"/>
      <c r="L14" s="22"/>
      <c r="M14" s="6">
        <f>M12*9%</f>
        <v>19526.78745</v>
      </c>
    </row>
    <row r="15" spans="5:15" ht="17.399999999999999" customHeight="1" x14ac:dyDescent="0.35">
      <c r="E15" s="16"/>
      <c r="F15" s="22"/>
      <c r="G15" s="22"/>
      <c r="H15" s="22"/>
      <c r="I15" s="22"/>
      <c r="J15" s="22"/>
      <c r="K15" s="22"/>
      <c r="L15" s="22"/>
      <c r="M15" s="10">
        <f>SUM(M12:M14)</f>
        <v>256017.8799</v>
      </c>
    </row>
    <row r="16" spans="5:15" ht="17.399999999999999" customHeight="1" x14ac:dyDescent="0.35">
      <c r="E16" s="16"/>
      <c r="F16" s="22" t="s">
        <v>23</v>
      </c>
      <c r="G16" s="22"/>
      <c r="H16" s="22"/>
      <c r="I16" s="22"/>
      <c r="J16" s="22"/>
      <c r="K16" s="22"/>
      <c r="L16" s="22"/>
      <c r="M16" s="10">
        <v>3505</v>
      </c>
    </row>
    <row r="17" spans="5:15" ht="17.399999999999999" customHeight="1" x14ac:dyDescent="0.35">
      <c r="E17" s="16"/>
      <c r="F17" s="13"/>
      <c r="G17" s="13"/>
      <c r="H17" s="13"/>
      <c r="I17" s="13"/>
      <c r="J17" s="13"/>
      <c r="K17" s="13"/>
      <c r="L17" s="13"/>
      <c r="M17" s="10">
        <f>M15-M16</f>
        <v>252512.8799</v>
      </c>
    </row>
    <row r="18" spans="5:15" ht="15.5" x14ac:dyDescent="0.35">
      <c r="E18" s="7"/>
      <c r="F18" s="23" t="s">
        <v>45</v>
      </c>
      <c r="G18" s="23"/>
      <c r="H18" s="23"/>
      <c r="I18" s="23"/>
      <c r="J18" s="23"/>
      <c r="K18" s="23"/>
      <c r="L18" s="23"/>
      <c r="M18" s="23"/>
    </row>
    <row r="19" spans="5:15" ht="15.5" x14ac:dyDescent="0.35">
      <c r="E19" s="16"/>
      <c r="F19" s="24" t="s">
        <v>13</v>
      </c>
      <c r="G19" s="24"/>
      <c r="H19" s="24"/>
      <c r="I19" s="7"/>
      <c r="J19" s="7"/>
      <c r="K19" s="7"/>
      <c r="L19" s="7"/>
      <c r="M19" s="11"/>
    </row>
    <row r="20" spans="5:15" ht="15.5" x14ac:dyDescent="0.35">
      <c r="E20" s="16"/>
      <c r="F20" s="24" t="s">
        <v>22</v>
      </c>
      <c r="G20" s="24"/>
      <c r="H20" s="24"/>
      <c r="I20" s="7"/>
      <c r="J20" s="7"/>
      <c r="K20" s="7"/>
      <c r="L20" s="7"/>
      <c r="M20" s="11"/>
      <c r="O20" s="19">
        <f>M21+'Bill-5'!M20+'Bill-4'!M16+'Bill-3'!M20+'Bill-2'!M20+'Bill-1'!M20</f>
        <v>2842248.2009000001</v>
      </c>
    </row>
    <row r="21" spans="5:15" ht="15.5" x14ac:dyDescent="0.35">
      <c r="E21" s="16"/>
      <c r="F21" s="24" t="s">
        <v>14</v>
      </c>
      <c r="G21" s="24"/>
      <c r="H21" s="24"/>
      <c r="I21" s="7"/>
      <c r="J21" s="7"/>
      <c r="K21" s="7"/>
      <c r="L21" s="7"/>
      <c r="M21" s="18">
        <f>M17-M19-M20</f>
        <v>252512.8799</v>
      </c>
    </row>
    <row r="22" spans="5:15" ht="15.5" x14ac:dyDescent="0.35">
      <c r="E22" s="7"/>
      <c r="F22" s="7"/>
      <c r="G22" s="7"/>
      <c r="H22" s="7"/>
      <c r="I22" s="7"/>
      <c r="J22" s="7"/>
      <c r="K22" s="7"/>
      <c r="L22" s="7"/>
      <c r="M22" s="7"/>
    </row>
    <row r="23" spans="5:15" x14ac:dyDescent="0.3">
      <c r="E23" s="25"/>
      <c r="F23" s="25"/>
      <c r="G23" s="25"/>
      <c r="H23" s="25"/>
      <c r="I23" s="25"/>
      <c r="J23" s="25"/>
      <c r="K23" s="25"/>
      <c r="L23" s="25"/>
      <c r="M23" s="25"/>
    </row>
    <row r="24" spans="5:15" x14ac:dyDescent="0.3">
      <c r="E24" s="25"/>
      <c r="F24" s="25"/>
      <c r="G24" s="25"/>
      <c r="H24" s="25"/>
      <c r="I24" s="25"/>
      <c r="J24" s="25"/>
      <c r="K24" s="25"/>
      <c r="L24" s="25"/>
      <c r="M24" s="25"/>
    </row>
    <row r="25" spans="5:15" x14ac:dyDescent="0.3">
      <c r="E25" s="25"/>
      <c r="F25" s="25"/>
      <c r="G25" s="25"/>
      <c r="H25" s="25"/>
      <c r="I25" s="25"/>
      <c r="J25" s="25"/>
      <c r="K25" s="25"/>
      <c r="L25" s="25"/>
      <c r="M25" s="25"/>
    </row>
    <row r="26" spans="5:15" x14ac:dyDescent="0.3">
      <c r="E26" s="20" t="s">
        <v>15</v>
      </c>
      <c r="F26" s="20"/>
      <c r="G26" s="20"/>
      <c r="H26" s="20"/>
      <c r="I26" s="20"/>
      <c r="J26" s="20"/>
      <c r="K26" s="20"/>
      <c r="L26" s="20"/>
      <c r="M26" s="20"/>
    </row>
    <row r="27" spans="5:15" x14ac:dyDescent="0.3">
      <c r="E27" s="20"/>
      <c r="F27" s="20"/>
      <c r="G27" s="20"/>
      <c r="H27" s="20"/>
      <c r="I27" s="20"/>
      <c r="J27" s="20"/>
      <c r="K27" s="20"/>
      <c r="L27" s="20"/>
      <c r="M27" s="20"/>
    </row>
    <row r="28" spans="5:15" x14ac:dyDescent="0.3">
      <c r="E28" s="20"/>
      <c r="F28" s="20"/>
      <c r="G28" s="20"/>
      <c r="H28" s="20"/>
      <c r="I28" s="20"/>
      <c r="J28" s="20"/>
      <c r="K28" s="20"/>
      <c r="L28" s="20"/>
      <c r="M28" s="20"/>
    </row>
    <row r="29" spans="5:15" x14ac:dyDescent="0.3">
      <c r="E29" s="20"/>
      <c r="F29" s="20"/>
      <c r="G29" s="20"/>
      <c r="H29" s="20"/>
      <c r="I29" s="20"/>
      <c r="J29" s="20"/>
      <c r="K29" s="20"/>
      <c r="L29" s="20"/>
      <c r="M29" s="20"/>
    </row>
    <row r="30" spans="5:15" x14ac:dyDescent="0.3">
      <c r="E30" s="20"/>
      <c r="F30" s="20"/>
      <c r="G30" s="20"/>
      <c r="H30" s="20"/>
      <c r="I30" s="20"/>
      <c r="J30" s="20"/>
      <c r="K30" s="20"/>
      <c r="L30" s="20"/>
      <c r="M30" s="20"/>
    </row>
    <row r="31" spans="5:15" x14ac:dyDescent="0.3">
      <c r="E31" s="20"/>
      <c r="F31" s="20"/>
      <c r="G31" s="20"/>
      <c r="H31" s="20"/>
      <c r="I31" s="20"/>
      <c r="J31" s="20"/>
      <c r="K31" s="20"/>
      <c r="L31" s="20"/>
      <c r="M31" s="20"/>
    </row>
    <row r="32" spans="5:15" ht="15.5" x14ac:dyDescent="0.35">
      <c r="E32" s="7"/>
      <c r="F32" s="7"/>
      <c r="G32" s="7"/>
      <c r="H32" s="7"/>
      <c r="I32" s="7"/>
      <c r="J32" s="7"/>
      <c r="K32" s="7"/>
      <c r="L32" s="7"/>
      <c r="M32" s="7"/>
    </row>
    <row r="33" spans="5:13" ht="15.5" x14ac:dyDescent="0.35">
      <c r="E33" s="7"/>
      <c r="F33" s="7"/>
      <c r="G33" s="7"/>
      <c r="H33" s="7"/>
      <c r="I33" s="7"/>
      <c r="J33" s="7"/>
      <c r="K33" s="7"/>
      <c r="L33" s="7"/>
      <c r="M33" s="7"/>
    </row>
  </sheetData>
  <mergeCells count="29">
    <mergeCell ref="E2:M2"/>
    <mergeCell ref="E4:F4"/>
    <mergeCell ref="G4:J4"/>
    <mergeCell ref="K4:L4"/>
    <mergeCell ref="E5:F5"/>
    <mergeCell ref="G5:M5"/>
    <mergeCell ref="F14:L14"/>
    <mergeCell ref="E6:J6"/>
    <mergeCell ref="L6:M6"/>
    <mergeCell ref="E7:F7"/>
    <mergeCell ref="G7:J7"/>
    <mergeCell ref="L7:M7"/>
    <mergeCell ref="E8:F8"/>
    <mergeCell ref="G8:M8"/>
    <mergeCell ref="E9:M9"/>
    <mergeCell ref="F10:H10"/>
    <mergeCell ref="F11:H11"/>
    <mergeCell ref="F12:L12"/>
    <mergeCell ref="F13:L13"/>
    <mergeCell ref="E26:M27"/>
    <mergeCell ref="E28:M29"/>
    <mergeCell ref="E30:M31"/>
    <mergeCell ref="F16:L16"/>
    <mergeCell ref="F15:L15"/>
    <mergeCell ref="F18:M18"/>
    <mergeCell ref="F19:H19"/>
    <mergeCell ref="F20:H20"/>
    <mergeCell ref="F21:H21"/>
    <mergeCell ref="E23:M25"/>
  </mergeCells>
  <pageMargins left="0.7" right="0.7" top="0.75" bottom="0.75" header="0.3" footer="0.3"/>
  <pageSetup paperSize="9" scale="58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Bill-1</vt:lpstr>
      <vt:lpstr>Bill-2</vt:lpstr>
      <vt:lpstr>Bill-3</vt:lpstr>
      <vt:lpstr>Bill-4</vt:lpstr>
      <vt:lpstr>Bill-5</vt:lpstr>
      <vt:lpstr>Bill-6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2025-07-23T09:55:53Z</cp:lastPrinted>
  <dcterms:created xsi:type="dcterms:W3CDTF">2017-06-28T08:31:23Z</dcterms:created>
  <dcterms:modified xsi:type="dcterms:W3CDTF">2025-11-11T12:12:07Z</dcterms:modified>
</cp:coreProperties>
</file>