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642C4C84-1D9E-4E5D-9E7D-96D1F4C6F1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22" r:id="rId1"/>
    <sheet name="2" sheetId="23" r:id="rId2"/>
    <sheet name="3" sheetId="2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22" l="1"/>
  <c r="J15" i="24"/>
  <c r="J14" i="24"/>
  <c r="J13" i="24"/>
  <c r="J12" i="24"/>
  <c r="J11" i="24"/>
  <c r="J16" i="24" l="1"/>
  <c r="M15" i="22"/>
  <c r="M14" i="22"/>
  <c r="M13" i="22"/>
  <c r="M12" i="22"/>
  <c r="M11" i="22"/>
  <c r="J17" i="24" l="1"/>
  <c r="J19" i="24"/>
  <c r="J14" i="23"/>
  <c r="J15" i="23"/>
  <c r="J13" i="23"/>
  <c r="J12" i="23"/>
  <c r="J11" i="23"/>
  <c r="J23" i="24" l="1"/>
  <c r="J16" i="23"/>
  <c r="J17" i="23" s="1"/>
  <c r="J19" i="23" s="1"/>
  <c r="J23" i="23" s="1"/>
  <c r="J11" i="22"/>
  <c r="J12" i="22" l="1"/>
  <c r="J13" i="22"/>
  <c r="J14" i="22"/>
  <c r="J15" i="22" l="1"/>
  <c r="J16" i="22" l="1"/>
  <c r="J18" i="22" s="1"/>
  <c r="J22" i="22" s="1"/>
</calcChain>
</file>

<file path=xl/sharedStrings.xml><?xml version="1.0" encoding="utf-8"?>
<sst xmlns="http://schemas.openxmlformats.org/spreadsheetml/2006/main" count="119" uniqueCount="42">
  <si>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</si>
  <si>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</si>
  <si>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</si>
  <si>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</si>
  <si>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</si>
  <si>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</si>
  <si>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</si>
  <si>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</si>
  <si>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</si>
  <si>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</si>
  <si>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</si>
  <si>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</si>
  <si>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</si>
  <si>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</si>
  <si>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</si>
  <si>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</si>
  <si>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</si>
  <si>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</si>
  <si>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</si>
  <si>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</si>
  <si>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</si>
  <si>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</si>
  <si>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</si>
  <si>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</si>
  <si>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S M Construction</t>
  </si>
  <si>
    <t>Santosh Jadhav- 9902052488</t>
  </si>
  <si>
    <t>To, 
Tanvi Infracon - Revanta Project</t>
  </si>
  <si>
    <t xml:space="preserve">Guniting work </t>
  </si>
  <si>
    <t>Guniting work with labour and part material</t>
  </si>
  <si>
    <t>Guniting work (Shortcrete)</t>
  </si>
  <si>
    <t>Sq.mt.</t>
  </si>
  <si>
    <t>Nailing 3 Meter length</t>
  </si>
  <si>
    <t>Nos.</t>
  </si>
  <si>
    <t>Nailing 6 Meter length</t>
  </si>
  <si>
    <t>V-poll</t>
  </si>
  <si>
    <t>Nine lakh One thousand Five Hundred Sixty Eight Only</t>
  </si>
  <si>
    <t>Anchoring</t>
  </si>
  <si>
    <t>Fabrication work for Channel and Plate</t>
  </si>
  <si>
    <t>Kg</t>
  </si>
  <si>
    <t>Fifteen Lakh Thirty Thousand Three Hundred Sixty Eight only</t>
  </si>
  <si>
    <t>Debit</t>
  </si>
  <si>
    <t>Ninteen Lakh Eighty One Thousand Nine Hundred Eighty Five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</si>
</sst>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/>
    <xf numFmtId="165" fontId="4" fillId="0" borderId="0" xfId="0" applyNumberFormat="1" applyFont="1" applyAlignment="1">
      <alignment horizontal="right" vertical="center"/>
    </xf>
    <xf numFmtId="165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4"/>
  <sheetViews>
    <sheetView tabSelected="1" topLeftCell="A10" zoomScaleNormal="100" workbookViewId="0">
      <selection activeCell="M18" sqref="M1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08984375" style="1" bestFit="1" customWidth="1"/>
    <col min="13" max="13" width="10" style="1" bestFit="1" customWidth="1"/>
    <col min="14" max="16384" width="8.6328125" style="1"/>
  </cols>
  <sheetData>
    <row r="2" spans="2:13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3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3" ht="15.65" customHeight="1" x14ac:dyDescent="0.35">
      <c r="B4" s="23" t="s">
        <v>16</v>
      </c>
      <c r="C4" s="23"/>
      <c r="D4" s="24" t="s">
        <v>24</v>
      </c>
      <c r="E4" s="24"/>
      <c r="F4" s="24"/>
      <c r="G4" s="24"/>
      <c r="H4" s="25" t="s">
        <v>22</v>
      </c>
      <c r="I4" s="25"/>
      <c r="J4" s="7">
        <v>18</v>
      </c>
    </row>
    <row r="5" spans="2:13" ht="18.899999999999999" customHeight="1" x14ac:dyDescent="0.3">
      <c r="B5" s="26" t="s">
        <v>1</v>
      </c>
      <c r="C5" s="26"/>
      <c r="D5" s="27" t="s">
        <v>25</v>
      </c>
      <c r="E5" s="27"/>
      <c r="F5" s="27"/>
      <c r="G5" s="27"/>
      <c r="H5" s="27"/>
      <c r="I5" s="27"/>
      <c r="J5" s="27"/>
    </row>
    <row r="6" spans="2:13" ht="30.9" customHeight="1" x14ac:dyDescent="0.35">
      <c r="B6" s="29" t="s">
        <v>26</v>
      </c>
      <c r="C6" s="29"/>
      <c r="D6" s="29"/>
      <c r="E6" s="29"/>
      <c r="F6" s="29"/>
      <c r="G6" s="29"/>
      <c r="H6" s="9" t="s">
        <v>2</v>
      </c>
      <c r="I6" s="9"/>
      <c r="J6" s="17">
        <v>44627</v>
      </c>
    </row>
    <row r="7" spans="2:13" ht="20.149999999999999" customHeight="1" x14ac:dyDescent="0.3">
      <c r="B7" s="30" t="s">
        <v>3</v>
      </c>
      <c r="C7" s="30"/>
      <c r="D7" s="31" t="s">
        <v>27</v>
      </c>
      <c r="E7" s="31"/>
      <c r="F7" s="31"/>
      <c r="G7" s="31"/>
      <c r="H7" s="3" t="s">
        <v>17</v>
      </c>
      <c r="I7" s="3"/>
      <c r="J7" s="17">
        <v>44627</v>
      </c>
    </row>
    <row r="8" spans="2:13" ht="18.899999999999999" customHeight="1" x14ac:dyDescent="0.3">
      <c r="B8" s="26" t="s">
        <v>5</v>
      </c>
      <c r="C8" s="26"/>
      <c r="D8" s="27" t="s">
        <v>28</v>
      </c>
      <c r="E8" s="27"/>
      <c r="F8" s="27"/>
      <c r="G8" s="27"/>
      <c r="H8" s="27"/>
      <c r="I8" s="27"/>
      <c r="J8" s="27"/>
    </row>
    <row r="9" spans="2:13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3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3" ht="22.75" customHeight="1" x14ac:dyDescent="0.3">
      <c r="B11" s="4">
        <v>1</v>
      </c>
      <c r="C11" s="31" t="s">
        <v>29</v>
      </c>
      <c r="D11" s="31"/>
      <c r="E11" s="31"/>
      <c r="F11" s="5">
        <v>1</v>
      </c>
      <c r="G11" s="11">
        <v>573.47</v>
      </c>
      <c r="H11" s="4" t="s">
        <v>30</v>
      </c>
      <c r="I11" s="12">
        <v>1150</v>
      </c>
      <c r="J11" s="20">
        <f>I11*G11</f>
        <v>659490.5</v>
      </c>
      <c r="M11" s="1">
        <f>G11+'2'!G11</f>
        <v>782.37</v>
      </c>
    </row>
    <row r="12" spans="2:13" ht="22.75" customHeight="1" x14ac:dyDescent="0.3">
      <c r="B12" s="4">
        <v>2</v>
      </c>
      <c r="C12" s="31" t="s">
        <v>31</v>
      </c>
      <c r="D12" s="31"/>
      <c r="E12" s="31"/>
      <c r="F12" s="5">
        <v>1</v>
      </c>
      <c r="G12" s="11">
        <v>247</v>
      </c>
      <c r="H12" s="4" t="s">
        <v>32</v>
      </c>
      <c r="I12" s="12">
        <v>150</v>
      </c>
      <c r="J12" s="20">
        <f t="shared" ref="J12:J14" si="0">I12*G12</f>
        <v>37050</v>
      </c>
      <c r="M12" s="1">
        <f>G12+'2'!G12</f>
        <v>374</v>
      </c>
    </row>
    <row r="13" spans="2:13" ht="22.75" customHeight="1" x14ac:dyDescent="0.3">
      <c r="B13" s="4">
        <v>3</v>
      </c>
      <c r="C13" s="31" t="s">
        <v>33</v>
      </c>
      <c r="D13" s="31"/>
      <c r="E13" s="31"/>
      <c r="F13" s="5">
        <v>1</v>
      </c>
      <c r="G13" s="11">
        <v>186</v>
      </c>
      <c r="H13" s="4" t="s">
        <v>32</v>
      </c>
      <c r="I13" s="12">
        <v>300</v>
      </c>
      <c r="J13" s="20">
        <f t="shared" si="0"/>
        <v>55800</v>
      </c>
      <c r="M13" s="1">
        <f>G13</f>
        <v>186</v>
      </c>
    </row>
    <row r="14" spans="2:13" ht="22.75" customHeight="1" x14ac:dyDescent="0.3">
      <c r="B14" s="4">
        <v>4</v>
      </c>
      <c r="C14" s="31" t="s">
        <v>34</v>
      </c>
      <c r="D14" s="31"/>
      <c r="E14" s="31"/>
      <c r="F14" s="5">
        <v>1</v>
      </c>
      <c r="G14" s="11">
        <v>18</v>
      </c>
      <c r="H14" s="4" t="s">
        <v>32</v>
      </c>
      <c r="I14" s="12">
        <v>650</v>
      </c>
      <c r="J14" s="20">
        <f t="shared" si="0"/>
        <v>11700</v>
      </c>
      <c r="M14" s="1">
        <f>G14+'2'!G14</f>
        <v>116</v>
      </c>
    </row>
    <row r="15" spans="2:13" ht="17.399999999999999" customHeight="1" x14ac:dyDescent="0.35">
      <c r="B15" s="16"/>
      <c r="C15" s="28" t="s">
        <v>18</v>
      </c>
      <c r="D15" s="28"/>
      <c r="E15" s="28"/>
      <c r="F15" s="28"/>
      <c r="G15" s="28"/>
      <c r="H15" s="28"/>
      <c r="I15" s="28"/>
      <c r="J15" s="6">
        <f>SUM(J11:J14)</f>
        <v>764040.5</v>
      </c>
      <c r="M15" s="1">
        <f>'2'!G13</f>
        <v>826</v>
      </c>
    </row>
    <row r="16" spans="2:13" ht="17.399999999999999" customHeight="1" x14ac:dyDescent="0.35">
      <c r="B16" s="16"/>
      <c r="C16" s="33" t="s">
        <v>23</v>
      </c>
      <c r="D16" s="33"/>
      <c r="E16" s="33"/>
      <c r="F16" s="33"/>
      <c r="G16" s="33"/>
      <c r="H16" s="33"/>
      <c r="I16" s="33"/>
      <c r="J16" s="6">
        <f>J15*18%</f>
        <v>137527.29</v>
      </c>
    </row>
    <row r="17" spans="2:13" ht="17.399999999999999" customHeight="1" x14ac:dyDescent="0.35">
      <c r="B17" s="16"/>
      <c r="C17" s="33"/>
      <c r="D17" s="33"/>
      <c r="E17" s="33"/>
      <c r="F17" s="33"/>
      <c r="G17" s="33"/>
      <c r="H17" s="33"/>
      <c r="I17" s="33"/>
      <c r="J17" s="6"/>
      <c r="M17" s="21">
        <f>J18+'2'!J19+'3'!J19</f>
        <v>4417920.3788000001</v>
      </c>
    </row>
    <row r="18" spans="2:13" ht="17.399999999999999" customHeight="1" x14ac:dyDescent="0.35">
      <c r="B18" s="16"/>
      <c r="C18" s="14"/>
      <c r="D18" s="14"/>
      <c r="E18" s="14"/>
      <c r="F18" s="14"/>
      <c r="G18" s="14"/>
      <c r="H18" s="14"/>
      <c r="I18" s="14"/>
      <c r="J18" s="18">
        <f>J15+J16+J17</f>
        <v>901567.79</v>
      </c>
    </row>
    <row r="19" spans="2:13" ht="15.5" x14ac:dyDescent="0.35">
      <c r="B19" s="7"/>
      <c r="C19" s="34" t="s">
        <v>35</v>
      </c>
      <c r="D19" s="34"/>
      <c r="E19" s="34"/>
      <c r="F19" s="34"/>
      <c r="G19" s="34"/>
      <c r="H19" s="34"/>
      <c r="I19" s="34"/>
      <c r="J19" s="34"/>
    </row>
    <row r="20" spans="2:13" ht="15.5" x14ac:dyDescent="0.35">
      <c r="B20" s="16"/>
      <c r="C20" s="24" t="s">
        <v>12</v>
      </c>
      <c r="D20" s="24"/>
      <c r="E20" s="24"/>
      <c r="F20" s="7"/>
      <c r="G20" s="7"/>
      <c r="H20" s="7"/>
      <c r="I20" s="7"/>
      <c r="J20" s="8">
        <v>0</v>
      </c>
    </row>
    <row r="21" spans="2:13" ht="15.5" x14ac:dyDescent="0.35">
      <c r="B21" s="16"/>
      <c r="C21" s="24" t="s">
        <v>20</v>
      </c>
      <c r="D21" s="24"/>
      <c r="E21" s="24"/>
      <c r="F21" s="7"/>
      <c r="G21" s="7"/>
      <c r="H21" s="7"/>
      <c r="I21" s="7"/>
      <c r="J21" s="8">
        <v>0</v>
      </c>
    </row>
    <row r="22" spans="2:13" ht="15.5" x14ac:dyDescent="0.35">
      <c r="B22" s="16"/>
      <c r="C22" s="24" t="s">
        <v>13</v>
      </c>
      <c r="D22" s="24"/>
      <c r="E22" s="24"/>
      <c r="F22" s="7"/>
      <c r="G22" s="7" t="s">
        <v>19</v>
      </c>
      <c r="H22" s="7"/>
      <c r="I22" s="7"/>
      <c r="J22" s="19">
        <f>J18</f>
        <v>901567.79</v>
      </c>
    </row>
    <row r="23" spans="2:13" ht="15.5" x14ac:dyDescent="0.35">
      <c r="B23" s="7"/>
      <c r="C23" s="24"/>
      <c r="D23" s="24"/>
      <c r="E23" s="24"/>
      <c r="F23" s="7"/>
      <c r="G23" s="7"/>
      <c r="H23" s="7"/>
      <c r="I23" s="7"/>
      <c r="J23" s="7"/>
      <c r="L23" s="10"/>
    </row>
    <row r="24" spans="2:13" x14ac:dyDescent="0.3">
      <c r="B24" s="27" t="s">
        <v>14</v>
      </c>
      <c r="C24" s="27"/>
      <c r="D24" s="27"/>
      <c r="E24" s="27"/>
      <c r="F24" s="27"/>
      <c r="G24" s="27"/>
      <c r="H24" s="27"/>
      <c r="I24" s="27"/>
      <c r="J24" s="27"/>
    </row>
    <row r="25" spans="2:13" x14ac:dyDescent="0.3">
      <c r="B25" s="27"/>
      <c r="C25" s="27"/>
      <c r="D25" s="27"/>
      <c r="E25" s="27"/>
      <c r="F25" s="27"/>
      <c r="G25" s="27"/>
      <c r="H25" s="27"/>
      <c r="I25" s="27"/>
      <c r="J25" s="27"/>
    </row>
    <row r="26" spans="2:13" x14ac:dyDescent="0.3">
      <c r="B26" s="27"/>
      <c r="C26" s="27"/>
      <c r="D26" s="27"/>
      <c r="E26" s="27"/>
      <c r="F26" s="27"/>
      <c r="G26" s="27"/>
      <c r="H26" s="27"/>
      <c r="I26" s="27"/>
      <c r="J26" s="27"/>
    </row>
    <row r="29" spans="2:13" ht="14.15" customHeight="1" x14ac:dyDescent="0.3">
      <c r="B29" s="26" t="s">
        <v>15</v>
      </c>
      <c r="C29" s="26"/>
      <c r="D29" s="26"/>
      <c r="E29" s="26"/>
      <c r="F29" s="26"/>
      <c r="G29" s="26"/>
      <c r="H29" s="26"/>
      <c r="I29" s="26"/>
      <c r="J29" s="26"/>
    </row>
    <row r="30" spans="2:13" ht="14.15" customHeight="1" x14ac:dyDescent="0.3">
      <c r="B30" s="26"/>
      <c r="C30" s="26"/>
      <c r="D30" s="26"/>
      <c r="E30" s="26"/>
      <c r="F30" s="26"/>
      <c r="G30" s="26"/>
      <c r="H30" s="26"/>
      <c r="I30" s="26"/>
      <c r="J30" s="26"/>
    </row>
    <row r="31" spans="2:13" x14ac:dyDescent="0.3">
      <c r="B31" s="26"/>
      <c r="C31" s="26"/>
      <c r="D31" s="26"/>
      <c r="E31" s="26"/>
      <c r="F31" s="26"/>
      <c r="G31" s="26"/>
      <c r="H31" s="26"/>
      <c r="I31" s="26"/>
      <c r="J31" s="26"/>
    </row>
    <row r="32" spans="2:13" x14ac:dyDescent="0.3">
      <c r="B32" s="26"/>
      <c r="C32" s="26"/>
      <c r="D32" s="26"/>
      <c r="E32" s="26"/>
      <c r="F32" s="26"/>
      <c r="G32" s="26"/>
      <c r="H32" s="26"/>
      <c r="I32" s="26"/>
      <c r="J32" s="26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</sheetData>
  <mergeCells count="28">
    <mergeCell ref="C23:E23"/>
    <mergeCell ref="B24:J26"/>
    <mergeCell ref="B29:J30"/>
    <mergeCell ref="B31:J32"/>
    <mergeCell ref="C16:I16"/>
    <mergeCell ref="C17:I17"/>
    <mergeCell ref="C19:J19"/>
    <mergeCell ref="C20:E20"/>
    <mergeCell ref="C21:E21"/>
    <mergeCell ref="C22:E22"/>
    <mergeCell ref="C15:I15"/>
    <mergeCell ref="B6:G6"/>
    <mergeCell ref="B7:C7"/>
    <mergeCell ref="D7:G7"/>
    <mergeCell ref="B8:C8"/>
    <mergeCell ref="D8:J8"/>
    <mergeCell ref="C12:E12"/>
    <mergeCell ref="C13:E13"/>
    <mergeCell ref="B9:J9"/>
    <mergeCell ref="C10:E10"/>
    <mergeCell ref="C11:E11"/>
    <mergeCell ref="C14:E14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35"/>
  <sheetViews>
    <sheetView topLeftCell="A10" zoomScaleNormal="100" workbookViewId="0">
      <selection activeCell="G11" sqref="G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63281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0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23" t="s">
        <v>16</v>
      </c>
      <c r="C4" s="23"/>
      <c r="D4" s="24" t="s">
        <v>24</v>
      </c>
      <c r="E4" s="24"/>
      <c r="F4" s="24"/>
      <c r="G4" s="24"/>
      <c r="H4" s="25" t="s">
        <v>22</v>
      </c>
      <c r="I4" s="25"/>
      <c r="J4" s="7">
        <v>1</v>
      </c>
    </row>
    <row r="5" spans="2:10" ht="18.899999999999999" customHeight="1" x14ac:dyDescent="0.3">
      <c r="B5" s="26" t="s">
        <v>1</v>
      </c>
      <c r="C5" s="26"/>
      <c r="D5" s="27" t="s">
        <v>25</v>
      </c>
      <c r="E5" s="27"/>
      <c r="F5" s="27"/>
      <c r="G5" s="27"/>
      <c r="H5" s="27"/>
      <c r="I5" s="27"/>
      <c r="J5" s="27"/>
    </row>
    <row r="6" spans="2:10" ht="30.9" customHeight="1" x14ac:dyDescent="0.35">
      <c r="B6" s="29" t="s">
        <v>26</v>
      </c>
      <c r="C6" s="29"/>
      <c r="D6" s="29"/>
      <c r="E6" s="29"/>
      <c r="F6" s="29"/>
      <c r="G6" s="29"/>
      <c r="H6" s="9" t="s">
        <v>2</v>
      </c>
      <c r="I6" s="9"/>
      <c r="J6" s="17">
        <v>44659</v>
      </c>
    </row>
    <row r="7" spans="2:10" ht="20.149999999999999" customHeight="1" x14ac:dyDescent="0.3">
      <c r="B7" s="30" t="s">
        <v>3</v>
      </c>
      <c r="C7" s="30"/>
      <c r="D7" s="31" t="s">
        <v>27</v>
      </c>
      <c r="E7" s="31"/>
      <c r="F7" s="31"/>
      <c r="G7" s="31"/>
      <c r="H7" s="3" t="s">
        <v>17</v>
      </c>
      <c r="I7" s="3"/>
      <c r="J7" s="17">
        <v>44659</v>
      </c>
    </row>
    <row r="8" spans="2:10" ht="18.899999999999999" customHeight="1" x14ac:dyDescent="0.3">
      <c r="B8" s="26" t="s">
        <v>5</v>
      </c>
      <c r="C8" s="26"/>
      <c r="D8" s="27" t="s">
        <v>28</v>
      </c>
      <c r="E8" s="27"/>
      <c r="F8" s="27"/>
      <c r="G8" s="27"/>
      <c r="H8" s="27"/>
      <c r="I8" s="27"/>
      <c r="J8" s="27"/>
    </row>
    <row r="9" spans="2:10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0" ht="30" x14ac:dyDescent="0.3">
      <c r="B10" s="2" t="s">
        <v>11</v>
      </c>
      <c r="C10" s="32" t="s">
        <v>6</v>
      </c>
      <c r="D10" s="32"/>
      <c r="E10" s="32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22.75" customHeight="1" x14ac:dyDescent="0.3">
      <c r="B11" s="4">
        <v>1</v>
      </c>
      <c r="C11" s="31" t="s">
        <v>29</v>
      </c>
      <c r="D11" s="31"/>
      <c r="E11" s="31"/>
      <c r="F11" s="5">
        <v>1</v>
      </c>
      <c r="G11" s="11">
        <v>208.9</v>
      </c>
      <c r="H11" s="4" t="s">
        <v>30</v>
      </c>
      <c r="I11" s="12">
        <v>1150</v>
      </c>
      <c r="J11" s="20">
        <f>I11*G11</f>
        <v>240235</v>
      </c>
    </row>
    <row r="12" spans="2:10" ht="22.75" customHeight="1" x14ac:dyDescent="0.3">
      <c r="B12" s="4">
        <v>2</v>
      </c>
      <c r="C12" s="31" t="s">
        <v>31</v>
      </c>
      <c r="D12" s="31"/>
      <c r="E12" s="31"/>
      <c r="F12" s="5">
        <v>1</v>
      </c>
      <c r="G12" s="11">
        <v>127</v>
      </c>
      <c r="H12" s="4" t="s">
        <v>32</v>
      </c>
      <c r="I12" s="12">
        <v>150</v>
      </c>
      <c r="J12" s="20">
        <f t="shared" ref="J12:J15" si="0">I12*G12</f>
        <v>19050</v>
      </c>
    </row>
    <row r="13" spans="2:10" ht="22.75" customHeight="1" x14ac:dyDescent="0.3">
      <c r="B13" s="4">
        <v>3</v>
      </c>
      <c r="C13" s="31" t="s">
        <v>36</v>
      </c>
      <c r="D13" s="31"/>
      <c r="E13" s="31"/>
      <c r="F13" s="5">
        <v>1</v>
      </c>
      <c r="G13" s="11">
        <v>826</v>
      </c>
      <c r="H13" s="4" t="s">
        <v>32</v>
      </c>
      <c r="I13" s="12">
        <v>1050</v>
      </c>
      <c r="J13" s="20">
        <f t="shared" si="0"/>
        <v>867300</v>
      </c>
    </row>
    <row r="14" spans="2:10" ht="22.75" customHeight="1" x14ac:dyDescent="0.3">
      <c r="B14" s="4">
        <v>4</v>
      </c>
      <c r="C14" s="31" t="s">
        <v>34</v>
      </c>
      <c r="D14" s="31"/>
      <c r="E14" s="31"/>
      <c r="F14" s="5">
        <v>1</v>
      </c>
      <c r="G14" s="11">
        <v>98</v>
      </c>
      <c r="H14" s="4" t="s">
        <v>32</v>
      </c>
      <c r="I14" s="12">
        <v>650</v>
      </c>
      <c r="J14" s="20">
        <f t="shared" ref="J14" si="1">I14*G14</f>
        <v>63700</v>
      </c>
    </row>
    <row r="15" spans="2:10" ht="22.75" customHeight="1" x14ac:dyDescent="0.3">
      <c r="B15" s="4">
        <v>5</v>
      </c>
      <c r="C15" s="31" t="s">
        <v>37</v>
      </c>
      <c r="D15" s="31"/>
      <c r="E15" s="31"/>
      <c r="F15" s="5">
        <v>1</v>
      </c>
      <c r="G15" s="11">
        <v>3929.52</v>
      </c>
      <c r="H15" s="4" t="s">
        <v>38</v>
      </c>
      <c r="I15" s="12">
        <v>28</v>
      </c>
      <c r="J15" s="20">
        <f t="shared" si="0"/>
        <v>110026.56</v>
      </c>
    </row>
    <row r="16" spans="2:10" ht="17.399999999999999" customHeight="1" x14ac:dyDescent="0.35">
      <c r="B16" s="16"/>
      <c r="C16" s="28" t="s">
        <v>18</v>
      </c>
      <c r="D16" s="28"/>
      <c r="E16" s="28"/>
      <c r="F16" s="28"/>
      <c r="G16" s="28"/>
      <c r="H16" s="28"/>
      <c r="I16" s="28"/>
      <c r="J16" s="18">
        <f>SUM(J11:J15)</f>
        <v>1300311.56</v>
      </c>
    </row>
    <row r="17" spans="2:12" ht="17.399999999999999" customHeight="1" x14ac:dyDescent="0.35">
      <c r="B17" s="16"/>
      <c r="C17" s="33" t="s">
        <v>23</v>
      </c>
      <c r="D17" s="33"/>
      <c r="E17" s="33"/>
      <c r="F17" s="33"/>
      <c r="G17" s="33"/>
      <c r="H17" s="33"/>
      <c r="I17" s="33"/>
      <c r="J17" s="6">
        <f>J16*18%</f>
        <v>234056.0808</v>
      </c>
    </row>
    <row r="18" spans="2:12" ht="17.399999999999999" customHeight="1" x14ac:dyDescent="0.35">
      <c r="B18" s="16"/>
      <c r="C18" s="33"/>
      <c r="D18" s="33"/>
      <c r="E18" s="33"/>
      <c r="F18" s="33"/>
      <c r="G18" s="33"/>
      <c r="H18" s="33"/>
      <c r="I18" s="33"/>
      <c r="J18" s="6"/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18">
        <f>J16+J17+J18</f>
        <v>1534367.6408000002</v>
      </c>
    </row>
    <row r="20" spans="2:12" ht="15.5" x14ac:dyDescent="0.35">
      <c r="B20" s="7"/>
      <c r="C20" s="34" t="s">
        <v>39</v>
      </c>
      <c r="D20" s="34"/>
      <c r="E20" s="34"/>
      <c r="F20" s="34"/>
      <c r="G20" s="34"/>
      <c r="H20" s="34"/>
      <c r="I20" s="34"/>
      <c r="J20" s="34"/>
    </row>
    <row r="21" spans="2:12" ht="15.5" x14ac:dyDescent="0.35">
      <c r="B21" s="16"/>
      <c r="C21" s="24" t="s">
        <v>12</v>
      </c>
      <c r="D21" s="24"/>
      <c r="E21" s="24"/>
      <c r="F21" s="7"/>
      <c r="G21" s="7"/>
      <c r="H21" s="7"/>
      <c r="I21" s="7"/>
      <c r="J21" s="8">
        <v>0</v>
      </c>
    </row>
    <row r="22" spans="2:12" ht="15.5" x14ac:dyDescent="0.35">
      <c r="B22" s="16"/>
      <c r="C22" s="24" t="s">
        <v>20</v>
      </c>
      <c r="D22" s="24"/>
      <c r="E22" s="24"/>
      <c r="F22" s="7"/>
      <c r="G22" s="7"/>
      <c r="H22" s="7"/>
      <c r="I22" s="7"/>
      <c r="J22" s="8">
        <v>0</v>
      </c>
    </row>
    <row r="23" spans="2:12" ht="15.5" x14ac:dyDescent="0.35">
      <c r="B23" s="16"/>
      <c r="C23" s="24" t="s">
        <v>13</v>
      </c>
      <c r="D23" s="24"/>
      <c r="E23" s="24"/>
      <c r="F23" s="7"/>
      <c r="G23" s="7" t="s">
        <v>19</v>
      </c>
      <c r="H23" s="7"/>
      <c r="I23" s="7"/>
      <c r="J23" s="19">
        <f>J19</f>
        <v>1534367.6408000002</v>
      </c>
    </row>
    <row r="24" spans="2:12" ht="15.5" x14ac:dyDescent="0.35">
      <c r="B24" s="7"/>
      <c r="C24" s="24"/>
      <c r="D24" s="24"/>
      <c r="E24" s="24"/>
      <c r="F24" s="7"/>
      <c r="G24" s="7"/>
      <c r="H24" s="7"/>
      <c r="I24" s="7"/>
      <c r="J24" s="7"/>
      <c r="L24" s="10"/>
    </row>
    <row r="25" spans="2:12" x14ac:dyDescent="0.3">
      <c r="B25" s="27" t="s">
        <v>14</v>
      </c>
      <c r="C25" s="27"/>
      <c r="D25" s="27"/>
      <c r="E25" s="27"/>
      <c r="F25" s="27"/>
      <c r="G25" s="27"/>
      <c r="H25" s="27"/>
      <c r="I25" s="27"/>
      <c r="J25" s="27"/>
    </row>
    <row r="26" spans="2:12" x14ac:dyDescent="0.3">
      <c r="B26" s="27"/>
      <c r="C26" s="27"/>
      <c r="D26" s="27"/>
      <c r="E26" s="27"/>
      <c r="F26" s="27"/>
      <c r="G26" s="27"/>
      <c r="H26" s="27"/>
      <c r="I26" s="27"/>
      <c r="J26" s="27"/>
    </row>
    <row r="27" spans="2:12" x14ac:dyDescent="0.3">
      <c r="B27" s="27"/>
      <c r="C27" s="27"/>
      <c r="D27" s="27"/>
      <c r="E27" s="27"/>
      <c r="F27" s="27"/>
      <c r="G27" s="27"/>
      <c r="H27" s="27"/>
      <c r="I27" s="27"/>
      <c r="J27" s="27"/>
    </row>
    <row r="30" spans="2:12" ht="14.15" customHeight="1" x14ac:dyDescent="0.3">
      <c r="B30" s="26" t="s">
        <v>15</v>
      </c>
      <c r="C30" s="26"/>
      <c r="D30" s="26"/>
      <c r="E30" s="26"/>
      <c r="F30" s="26"/>
      <c r="G30" s="26"/>
      <c r="H30" s="26"/>
      <c r="I30" s="26"/>
      <c r="J30" s="26"/>
    </row>
    <row r="31" spans="2:12" ht="14.15" customHeight="1" x14ac:dyDescent="0.3">
      <c r="B31" s="26"/>
      <c r="C31" s="26"/>
      <c r="D31" s="26"/>
      <c r="E31" s="26"/>
      <c r="F31" s="26"/>
      <c r="G31" s="26"/>
      <c r="H31" s="26"/>
      <c r="I31" s="26"/>
      <c r="J31" s="26"/>
    </row>
    <row r="32" spans="2:12" x14ac:dyDescent="0.3">
      <c r="B32" s="26"/>
      <c r="C32" s="26"/>
      <c r="D32" s="26"/>
      <c r="E32" s="26"/>
      <c r="F32" s="26"/>
      <c r="G32" s="26"/>
      <c r="H32" s="26"/>
      <c r="I32" s="26"/>
      <c r="J32" s="26"/>
    </row>
    <row r="33" spans="2:10" x14ac:dyDescent="0.3">
      <c r="B33" s="26"/>
      <c r="C33" s="26"/>
      <c r="D33" s="26"/>
      <c r="E33" s="26"/>
      <c r="F33" s="26"/>
      <c r="G33" s="26"/>
      <c r="H33" s="26"/>
      <c r="I33" s="26"/>
      <c r="J33" s="26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29">
    <mergeCell ref="B9:J9"/>
    <mergeCell ref="B2:J2"/>
    <mergeCell ref="B4:C4"/>
    <mergeCell ref="D4:G4"/>
    <mergeCell ref="H4:I4"/>
    <mergeCell ref="B5:C5"/>
    <mergeCell ref="D5:J5"/>
    <mergeCell ref="B6:G6"/>
    <mergeCell ref="B7:C7"/>
    <mergeCell ref="D7:G7"/>
    <mergeCell ref="B8:C8"/>
    <mergeCell ref="D8:J8"/>
    <mergeCell ref="C10:E10"/>
    <mergeCell ref="C11:E11"/>
    <mergeCell ref="C12:E12"/>
    <mergeCell ref="C13:E13"/>
    <mergeCell ref="C15:E15"/>
    <mergeCell ref="C24:E24"/>
    <mergeCell ref="B25:J27"/>
    <mergeCell ref="B30:J31"/>
    <mergeCell ref="B32:J33"/>
    <mergeCell ref="C14:E14"/>
    <mergeCell ref="C17:I17"/>
    <mergeCell ref="C18:I18"/>
    <mergeCell ref="C20:J20"/>
    <mergeCell ref="C21:E21"/>
    <mergeCell ref="C22:E22"/>
    <mergeCell ref="C23:E23"/>
    <mergeCell ref="C16:I1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35"/>
  <sheetViews>
    <sheetView topLeftCell="A10" zoomScaleNormal="100" workbookViewId="0">
      <selection activeCell="G11" sqref="G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6328125" style="1" customWidth="1"/>
    <col min="11" max="11" width="8.6328125" style="1"/>
    <col min="12" max="12" width="11.08984375" style="1" bestFit="1" customWidth="1"/>
    <col min="13" max="16384" width="8.6328125" style="1"/>
  </cols>
  <sheetData>
    <row r="2" spans="2:12" ht="17.5" x14ac:dyDescent="0.35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2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2" ht="15.65" customHeight="1" x14ac:dyDescent="0.35">
      <c r="B4" s="23" t="s">
        <v>16</v>
      </c>
      <c r="C4" s="23"/>
      <c r="D4" s="24" t="s">
        <v>24</v>
      </c>
      <c r="E4" s="24"/>
      <c r="F4" s="24"/>
      <c r="G4" s="24"/>
      <c r="H4" s="25" t="s">
        <v>22</v>
      </c>
      <c r="I4" s="25"/>
      <c r="J4" s="7">
        <v>11</v>
      </c>
    </row>
    <row r="5" spans="2:12" ht="18.899999999999999" customHeight="1" x14ac:dyDescent="0.3">
      <c r="B5" s="26" t="s">
        <v>1</v>
      </c>
      <c r="C5" s="26"/>
      <c r="D5" s="27" t="s">
        <v>25</v>
      </c>
      <c r="E5" s="27"/>
      <c r="F5" s="27"/>
      <c r="G5" s="27"/>
      <c r="H5" s="27"/>
      <c r="I5" s="27"/>
      <c r="J5" s="27"/>
    </row>
    <row r="6" spans="2:12" ht="30.9" customHeight="1" x14ac:dyDescent="0.35">
      <c r="B6" s="29" t="s">
        <v>26</v>
      </c>
      <c r="C6" s="29"/>
      <c r="D6" s="29"/>
      <c r="E6" s="29"/>
      <c r="F6" s="29"/>
      <c r="G6" s="29"/>
      <c r="H6" s="9" t="s">
        <v>2</v>
      </c>
      <c r="I6" s="9"/>
      <c r="J6" s="17">
        <v>44721</v>
      </c>
    </row>
    <row r="7" spans="2:12" ht="20.149999999999999" customHeight="1" x14ac:dyDescent="0.3">
      <c r="B7" s="30" t="s">
        <v>3</v>
      </c>
      <c r="C7" s="30"/>
      <c r="D7" s="31" t="s">
        <v>27</v>
      </c>
      <c r="E7" s="31"/>
      <c r="F7" s="31"/>
      <c r="G7" s="31"/>
      <c r="H7" s="3" t="s">
        <v>17</v>
      </c>
      <c r="I7" s="3"/>
      <c r="J7" s="17">
        <v>44721</v>
      </c>
    </row>
    <row r="8" spans="2:12" ht="18.899999999999999" customHeight="1" x14ac:dyDescent="0.3">
      <c r="B8" s="26" t="s">
        <v>5</v>
      </c>
      <c r="C8" s="26"/>
      <c r="D8" s="27" t="s">
        <v>28</v>
      </c>
      <c r="E8" s="27"/>
      <c r="F8" s="27"/>
      <c r="G8" s="27"/>
      <c r="H8" s="27"/>
      <c r="I8" s="27"/>
      <c r="J8" s="27"/>
    </row>
    <row r="9" spans="2:12" ht="20.399999999999999" customHeight="1" x14ac:dyDescent="0.3">
      <c r="B9" s="26" t="s">
        <v>4</v>
      </c>
      <c r="C9" s="26"/>
      <c r="D9" s="26"/>
      <c r="E9" s="26"/>
      <c r="F9" s="26"/>
      <c r="G9" s="26"/>
      <c r="H9" s="26"/>
      <c r="I9" s="26"/>
      <c r="J9" s="26"/>
    </row>
    <row r="10" spans="2:12" ht="30" x14ac:dyDescent="0.3">
      <c r="B10" s="2" t="s">
        <v>11</v>
      </c>
      <c r="C10" s="32" t="s">
        <v>6</v>
      </c>
      <c r="D10" s="32"/>
      <c r="E10" s="32"/>
      <c r="F10" s="2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2" ht="22.75" customHeight="1" x14ac:dyDescent="0.3">
      <c r="B11" s="4">
        <v>1</v>
      </c>
      <c r="C11" s="31" t="s">
        <v>29</v>
      </c>
      <c r="D11" s="31"/>
      <c r="E11" s="31"/>
      <c r="F11" s="5">
        <v>1</v>
      </c>
      <c r="G11" s="11">
        <v>622.86</v>
      </c>
      <c r="H11" s="4" t="s">
        <v>30</v>
      </c>
      <c r="I11" s="12">
        <v>1150</v>
      </c>
      <c r="J11" s="20">
        <f>I11*G11</f>
        <v>716289</v>
      </c>
    </row>
    <row r="12" spans="2:12" ht="22.75" customHeight="1" x14ac:dyDescent="0.3">
      <c r="B12" s="4">
        <v>2</v>
      </c>
      <c r="C12" s="31" t="s">
        <v>31</v>
      </c>
      <c r="D12" s="31"/>
      <c r="E12" s="31"/>
      <c r="F12" s="5">
        <v>1</v>
      </c>
      <c r="G12" s="11">
        <v>127</v>
      </c>
      <c r="H12" s="4" t="s">
        <v>32</v>
      </c>
      <c r="I12" s="12">
        <v>150</v>
      </c>
      <c r="J12" s="20">
        <f t="shared" ref="J12:J15" si="0">I12*G12</f>
        <v>19050</v>
      </c>
    </row>
    <row r="13" spans="2:12" ht="22.75" customHeight="1" x14ac:dyDescent="0.3">
      <c r="B13" s="4">
        <v>3</v>
      </c>
      <c r="C13" s="31" t="s">
        <v>36</v>
      </c>
      <c r="D13" s="31"/>
      <c r="E13" s="31"/>
      <c r="F13" s="5">
        <v>1</v>
      </c>
      <c r="G13" s="11">
        <v>806</v>
      </c>
      <c r="H13" s="4" t="s">
        <v>32</v>
      </c>
      <c r="I13" s="12">
        <v>1050</v>
      </c>
      <c r="J13" s="20">
        <f t="shared" si="0"/>
        <v>846300</v>
      </c>
    </row>
    <row r="14" spans="2:12" ht="22.75" customHeight="1" x14ac:dyDescent="0.3">
      <c r="B14" s="4">
        <v>4</v>
      </c>
      <c r="C14" s="31" t="s">
        <v>34</v>
      </c>
      <c r="D14" s="31"/>
      <c r="E14" s="31"/>
      <c r="F14" s="5">
        <v>1</v>
      </c>
      <c r="G14" s="11">
        <v>59</v>
      </c>
      <c r="H14" s="4" t="s">
        <v>32</v>
      </c>
      <c r="I14" s="12">
        <v>650</v>
      </c>
      <c r="J14" s="20">
        <f t="shared" si="0"/>
        <v>38350</v>
      </c>
    </row>
    <row r="15" spans="2:12" ht="22.75" customHeight="1" x14ac:dyDescent="0.3">
      <c r="B15" s="4">
        <v>5</v>
      </c>
      <c r="C15" s="31" t="s">
        <v>37</v>
      </c>
      <c r="D15" s="31"/>
      <c r="E15" s="31"/>
      <c r="F15" s="5">
        <v>1</v>
      </c>
      <c r="G15" s="11">
        <v>2745.7</v>
      </c>
      <c r="H15" s="4" t="s">
        <v>38</v>
      </c>
      <c r="I15" s="12">
        <v>28</v>
      </c>
      <c r="J15" s="20">
        <f t="shared" si="0"/>
        <v>76879.599999999991</v>
      </c>
    </row>
    <row r="16" spans="2:12" ht="17.399999999999999" customHeight="1" x14ac:dyDescent="0.35">
      <c r="B16" s="16"/>
      <c r="C16" s="28" t="s">
        <v>18</v>
      </c>
      <c r="D16" s="28"/>
      <c r="E16" s="28"/>
      <c r="F16" s="28"/>
      <c r="G16" s="28"/>
      <c r="H16" s="28"/>
      <c r="I16" s="28"/>
      <c r="J16" s="18">
        <f>SUM(J11:J15)</f>
        <v>1696868.6</v>
      </c>
      <c r="L16" s="21"/>
    </row>
    <row r="17" spans="2:12" ht="17.399999999999999" customHeight="1" x14ac:dyDescent="0.35">
      <c r="B17" s="16"/>
      <c r="C17" s="33" t="s">
        <v>23</v>
      </c>
      <c r="D17" s="33"/>
      <c r="E17" s="33"/>
      <c r="F17" s="33"/>
      <c r="G17" s="33"/>
      <c r="H17" s="33"/>
      <c r="I17" s="33"/>
      <c r="J17" s="6">
        <f>J16*18%</f>
        <v>305436.348</v>
      </c>
    </row>
    <row r="18" spans="2:12" ht="17.399999999999999" customHeight="1" x14ac:dyDescent="0.35">
      <c r="B18" s="16"/>
      <c r="C18" s="33" t="s">
        <v>40</v>
      </c>
      <c r="D18" s="33"/>
      <c r="E18" s="33"/>
      <c r="F18" s="33"/>
      <c r="G18" s="33"/>
      <c r="H18" s="33"/>
      <c r="I18" s="33"/>
      <c r="J18" s="6">
        <v>20320</v>
      </c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18">
        <f>J16+J17-J18</f>
        <v>1981984.9480000001</v>
      </c>
    </row>
    <row r="20" spans="2:12" ht="15.5" x14ac:dyDescent="0.35">
      <c r="B20" s="7"/>
      <c r="C20" s="34" t="s">
        <v>41</v>
      </c>
      <c r="D20" s="34"/>
      <c r="E20" s="34"/>
      <c r="F20" s="34"/>
      <c r="G20" s="34"/>
      <c r="H20" s="34"/>
      <c r="I20" s="34"/>
      <c r="J20" s="34"/>
    </row>
    <row r="21" spans="2:12" ht="15.5" x14ac:dyDescent="0.35">
      <c r="B21" s="16"/>
      <c r="C21" s="24" t="s">
        <v>12</v>
      </c>
      <c r="D21" s="24"/>
      <c r="E21" s="24"/>
      <c r="F21" s="7"/>
      <c r="G21" s="7"/>
      <c r="H21" s="7"/>
      <c r="I21" s="7"/>
      <c r="J21" s="8">
        <v>0</v>
      </c>
    </row>
    <row r="22" spans="2:12" ht="15.5" x14ac:dyDescent="0.35">
      <c r="B22" s="16"/>
      <c r="C22" s="24" t="s">
        <v>20</v>
      </c>
      <c r="D22" s="24"/>
      <c r="E22" s="24"/>
      <c r="F22" s="7"/>
      <c r="G22" s="7"/>
      <c r="H22" s="7"/>
      <c r="I22" s="7"/>
      <c r="J22" s="8">
        <v>0</v>
      </c>
    </row>
    <row r="23" spans="2:12" ht="15.5" x14ac:dyDescent="0.35">
      <c r="B23" s="16"/>
      <c r="C23" s="24" t="s">
        <v>13</v>
      </c>
      <c r="D23" s="24"/>
      <c r="E23" s="24"/>
      <c r="F23" s="7"/>
      <c r="G23" s="7" t="s">
        <v>19</v>
      </c>
      <c r="H23" s="7"/>
      <c r="I23" s="7"/>
      <c r="J23" s="19">
        <f>J19</f>
        <v>1981984.9480000001</v>
      </c>
    </row>
    <row r="24" spans="2:12" ht="15.5" x14ac:dyDescent="0.35">
      <c r="B24" s="7"/>
      <c r="C24" s="24"/>
      <c r="D24" s="24"/>
      <c r="E24" s="24"/>
      <c r="F24" s="7"/>
      <c r="G24" s="7"/>
      <c r="H24" s="7"/>
      <c r="I24" s="7"/>
      <c r="J24" s="7"/>
      <c r="L24" s="10"/>
    </row>
    <row r="25" spans="2:12" x14ac:dyDescent="0.3">
      <c r="B25" s="27" t="s">
        <v>14</v>
      </c>
      <c r="C25" s="27"/>
      <c r="D25" s="27"/>
      <c r="E25" s="27"/>
      <c r="F25" s="27"/>
      <c r="G25" s="27"/>
      <c r="H25" s="27"/>
      <c r="I25" s="27"/>
      <c r="J25" s="27"/>
    </row>
    <row r="26" spans="2:12" x14ac:dyDescent="0.3">
      <c r="B26" s="27"/>
      <c r="C26" s="27"/>
      <c r="D26" s="27"/>
      <c r="E26" s="27"/>
      <c r="F26" s="27"/>
      <c r="G26" s="27"/>
      <c r="H26" s="27"/>
      <c r="I26" s="27"/>
      <c r="J26" s="27"/>
    </row>
    <row r="27" spans="2:12" x14ac:dyDescent="0.3">
      <c r="B27" s="27"/>
      <c r="C27" s="27"/>
      <c r="D27" s="27"/>
      <c r="E27" s="27"/>
      <c r="F27" s="27"/>
      <c r="G27" s="27"/>
      <c r="H27" s="27"/>
      <c r="I27" s="27"/>
      <c r="J27" s="27"/>
    </row>
    <row r="30" spans="2:12" ht="14.15" customHeight="1" x14ac:dyDescent="0.3">
      <c r="B30" s="26" t="s">
        <v>15</v>
      </c>
      <c r="C30" s="26"/>
      <c r="D30" s="26"/>
      <c r="E30" s="26"/>
      <c r="F30" s="26"/>
      <c r="G30" s="26"/>
      <c r="H30" s="26"/>
      <c r="I30" s="26"/>
      <c r="J30" s="26"/>
    </row>
    <row r="31" spans="2:12" ht="14.15" customHeight="1" x14ac:dyDescent="0.3">
      <c r="B31" s="26"/>
      <c r="C31" s="26"/>
      <c r="D31" s="26"/>
      <c r="E31" s="26"/>
      <c r="F31" s="26"/>
      <c r="G31" s="26"/>
      <c r="H31" s="26"/>
      <c r="I31" s="26"/>
      <c r="J31" s="26"/>
    </row>
    <row r="32" spans="2:12" x14ac:dyDescent="0.3">
      <c r="B32" s="26"/>
      <c r="C32" s="26"/>
      <c r="D32" s="26"/>
      <c r="E32" s="26"/>
      <c r="F32" s="26"/>
      <c r="G32" s="26"/>
      <c r="H32" s="26"/>
      <c r="I32" s="26"/>
      <c r="J32" s="26"/>
    </row>
    <row r="33" spans="2:10" x14ac:dyDescent="0.3">
      <c r="B33" s="26"/>
      <c r="C33" s="26"/>
      <c r="D33" s="26"/>
      <c r="E33" s="26"/>
      <c r="F33" s="26"/>
      <c r="G33" s="26"/>
      <c r="H33" s="26"/>
      <c r="I33" s="26"/>
      <c r="J33" s="26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29">
    <mergeCell ref="C23:E23"/>
    <mergeCell ref="C24:E24"/>
    <mergeCell ref="B25:J27"/>
    <mergeCell ref="B30:J31"/>
    <mergeCell ref="B32:J33"/>
    <mergeCell ref="C22:E22"/>
    <mergeCell ref="C10:E10"/>
    <mergeCell ref="C11:E11"/>
    <mergeCell ref="C12:E12"/>
    <mergeCell ref="C13:E13"/>
    <mergeCell ref="C14:E14"/>
    <mergeCell ref="C15:E15"/>
    <mergeCell ref="C16:I16"/>
    <mergeCell ref="C17:I17"/>
    <mergeCell ref="C18:I18"/>
    <mergeCell ref="C20:J20"/>
    <mergeCell ref="C21:E21"/>
    <mergeCell ref="B9:J9"/>
    <mergeCell ref="B2:J2"/>
    <mergeCell ref="B4:C4"/>
    <mergeCell ref="D4:G4"/>
    <mergeCell ref="H4:I4"/>
    <mergeCell ref="B5:C5"/>
    <mergeCell ref="D5:J5"/>
    <mergeCell ref="B6:G6"/>
    <mergeCell ref="B7:C7"/>
    <mergeCell ref="D7:G7"/>
    <mergeCell ref="B8:C8"/>
    <mergeCell ref="D8:J8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2022-06-09T11:33:00Z</cp:lastPrinted>
  <dcterms:created xsi:type="dcterms:W3CDTF">2017-06-28T08:31:23Z</dcterms:created>
  <dcterms:modified xsi:type="dcterms:W3CDTF">2024-10-09T11:48:44Z</dcterms:modified>
</cp:coreProperties>
</file>