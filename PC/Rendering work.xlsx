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0997D311-AEDB-4A87-A1FF-21B98DD77B89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1" sheetId="26" r:id="rId1"/>
    <sheet name="2" sheetId="27" r:id="rId2"/>
    <sheet name="3" sheetId="28" r:id="rId3"/>
    <sheet name="4" sheetId="2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29" l="1"/>
  <c r="J17" i="29"/>
  <c r="J14" i="29"/>
  <c r="J13" i="29"/>
  <c r="J12" i="29"/>
  <c r="J11" i="29"/>
  <c r="J16" i="29"/>
  <c r="J15" i="29"/>
  <c r="J20" i="29" l="1"/>
  <c r="J24" i="29" s="1"/>
  <c r="J12" i="28"/>
  <c r="J13" i="28"/>
  <c r="J11" i="28"/>
  <c r="N13" i="27"/>
  <c r="L13" i="27"/>
  <c r="L12" i="27"/>
  <c r="J13" i="27"/>
  <c r="J11" i="27"/>
  <c r="J12" i="27"/>
  <c r="J11" i="26"/>
  <c r="J14" i="28" l="1"/>
  <c r="J17" i="28" s="1"/>
  <c r="J21" i="28" s="1"/>
  <c r="J16" i="27"/>
  <c r="J20" i="27" s="1"/>
  <c r="J12" i="26"/>
  <c r="J15" i="26" s="1"/>
  <c r="J19" i="26" s="1"/>
</calcChain>
</file>

<file path=xl/sharedStrings.xml><?xml version="1.0" encoding="utf-8"?>
<sst xmlns="http://schemas.openxmlformats.org/spreadsheetml/2006/main" count="151" uniqueCount="48">
  <si>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</si>
  <si>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</si>
  <si>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</si>
  <si>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</si>
  <si>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</si>
  <si>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</si>
  <si>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</si>
  <si>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</si>
  <si>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</si>
  <si>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</si>
  <si>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Amount</t>
  </si>
  <si>
    <t>Sr.
No.</t>
  </si>
  <si>
    <t xml:space="preserve">Advance Payment </t>
  </si>
  <si>
    <t>Balance Payment to be paid</t>
  </si>
  <si>
    <t>TDS will be deducted as per applicable rules at your end</t>
  </si>
  <si>
    <t xml:space="preserve">Approved By - </t>
  </si>
  <si>
    <t xml:space="preserve">Company Name </t>
  </si>
  <si>
    <t>Bill Date</t>
  </si>
  <si>
    <t xml:space="preserve">Total Bill Amount </t>
  </si>
  <si>
    <t xml:space="preserve"> </t>
  </si>
  <si>
    <t>Retention @ 5% to be deducted</t>
  </si>
  <si>
    <t>Rate/
Flat</t>
  </si>
  <si>
    <t>Invoice No.</t>
  </si>
  <si>
    <t>GST @ 18%</t>
  </si>
  <si>
    <t>To, 
Tanvi Infracon - Pramukh Revanta Project</t>
  </si>
  <si>
    <t>Babloo K Yadav</t>
  </si>
  <si>
    <t>Babloobhai</t>
  </si>
  <si>
    <t>Slab rendering work</t>
  </si>
  <si>
    <t>Rendering work</t>
  </si>
  <si>
    <t>RCC slab rendering work 1st floor (D &amp; E Building)</t>
  </si>
  <si>
    <t>Sq.ft.</t>
  </si>
  <si>
    <t>Fourty Eight Thousand Seven Hundred Eighty Nine Only</t>
  </si>
  <si>
    <t>RCC slab rendering work (D- Building)(Full slab Finishing)</t>
  </si>
  <si>
    <t>RCC slab rendering work (D- Building)(Joint Finishing)</t>
  </si>
  <si>
    <t>One Lakh Thirty Five Thousand Only</t>
  </si>
  <si>
    <t>Debit From Dhavalbhai</t>
  </si>
  <si>
    <t>RCC slab rendering work (E- Building)(Full slab Finishing)</t>
  </si>
  <si>
    <t>RCC slab rendering work (E- Building)(Joint Finishing)</t>
  </si>
  <si>
    <t>`</t>
  </si>
  <si>
    <t>RCC slab rendering work (D- Building)(Full Slab Finishing)</t>
  </si>
  <si>
    <t>One Lakh Fifty Nine Thousand One Hundred Thirty Two Only</t>
  </si>
  <si>
    <t>RCC slab rendering work (A- Building)(Full slab Finishing)</t>
  </si>
  <si>
    <t>RCC slab rendering work (A- Building)(Joint Finishing)</t>
  </si>
  <si>
    <t>RCC slab rendering work (B- Building)(Full slab Finishing)</t>
  </si>
  <si>
    <t>RCC slab rendering work (B- Building)(Joint Finishing)</t>
  </si>
  <si>
    <t>RCC slab rendering work (C- Building)(Full slab Finishing)</t>
  </si>
  <si>
    <t>RCC slab rendering work (C- Building)(Joint Finishing)</t>
  </si>
  <si>
    <t>Two Lakh Ninty One Thousand Two Hundred Twenty Two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</si>
</sst>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1" applyFont="1"/>
    <xf numFmtId="0" fontId="5" fillId="0" borderId="0" xfId="0" applyFont="1" applyAlignment="1">
      <alignment vertical="center"/>
    </xf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5" fillId="0" borderId="0" xfId="0" applyNumberFormat="1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1"/>
  <sheetViews>
    <sheetView topLeftCell="A10" zoomScaleNormal="100" workbookViewId="0">
      <selection activeCell="K14" sqref="K14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1" t="s">
        <v>0</v>
      </c>
      <c r="C2" s="21"/>
      <c r="D2" s="21"/>
      <c r="E2" s="21"/>
      <c r="F2" s="21"/>
      <c r="G2" s="21"/>
      <c r="H2" s="21"/>
      <c r="I2" s="21"/>
      <c r="J2" s="21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22" t="s">
        <v>16</v>
      </c>
      <c r="C4" s="22"/>
      <c r="D4" s="23" t="s">
        <v>25</v>
      </c>
      <c r="E4" s="23"/>
      <c r="F4" s="23"/>
      <c r="G4" s="23"/>
      <c r="H4" s="24" t="s">
        <v>22</v>
      </c>
      <c r="I4" s="24"/>
      <c r="J4" s="8">
        <v>1</v>
      </c>
    </row>
    <row r="5" spans="2:10" ht="18.899999999999999" customHeight="1" x14ac:dyDescent="0.3">
      <c r="B5" s="19" t="s">
        <v>1</v>
      </c>
      <c r="C5" s="19"/>
      <c r="D5" s="20" t="s">
        <v>26</v>
      </c>
      <c r="E5" s="20"/>
      <c r="F5" s="20"/>
      <c r="G5" s="20"/>
      <c r="H5" s="20"/>
      <c r="I5" s="20"/>
      <c r="J5" s="20"/>
    </row>
    <row r="6" spans="2:10" ht="30.9" customHeight="1" x14ac:dyDescent="0.35">
      <c r="B6" s="25" t="s">
        <v>24</v>
      </c>
      <c r="C6" s="25"/>
      <c r="D6" s="25"/>
      <c r="E6" s="25"/>
      <c r="F6" s="25"/>
      <c r="G6" s="25"/>
      <c r="H6" s="10" t="s">
        <v>2</v>
      </c>
      <c r="I6" s="26">
        <v>45099</v>
      </c>
      <c r="J6" s="27"/>
    </row>
    <row r="7" spans="2:10" ht="20.149999999999999" customHeight="1" x14ac:dyDescent="0.3">
      <c r="B7" s="28" t="s">
        <v>3</v>
      </c>
      <c r="C7" s="28"/>
      <c r="D7" s="29" t="s">
        <v>27</v>
      </c>
      <c r="E7" s="29"/>
      <c r="F7" s="29"/>
      <c r="G7" s="29"/>
      <c r="H7" s="3" t="s">
        <v>17</v>
      </c>
      <c r="I7" s="26">
        <v>45097</v>
      </c>
      <c r="J7" s="27"/>
    </row>
    <row r="8" spans="2:10" ht="18.899999999999999" customHeight="1" x14ac:dyDescent="0.3">
      <c r="B8" s="19" t="s">
        <v>5</v>
      </c>
      <c r="C8" s="19"/>
      <c r="D8" s="20" t="s">
        <v>28</v>
      </c>
      <c r="E8" s="20"/>
      <c r="F8" s="20"/>
      <c r="G8" s="20"/>
      <c r="H8" s="20"/>
      <c r="I8" s="20"/>
      <c r="J8" s="20"/>
    </row>
    <row r="9" spans="2:10" ht="20.399999999999999" customHeight="1" x14ac:dyDescent="0.3">
      <c r="B9" s="19" t="s">
        <v>4</v>
      </c>
      <c r="C9" s="19"/>
      <c r="D9" s="19"/>
      <c r="E9" s="19"/>
      <c r="F9" s="19"/>
      <c r="G9" s="19"/>
      <c r="H9" s="19"/>
      <c r="I9" s="19"/>
      <c r="J9" s="19"/>
    </row>
    <row r="10" spans="2:10" ht="30" x14ac:dyDescent="0.3">
      <c r="B10" s="2" t="s">
        <v>11</v>
      </c>
      <c r="C10" s="32" t="s">
        <v>6</v>
      </c>
      <c r="D10" s="32"/>
      <c r="E10" s="32"/>
      <c r="F10" s="3" t="s">
        <v>7</v>
      </c>
      <c r="G10" s="15" t="s">
        <v>8</v>
      </c>
      <c r="H10" s="15" t="s">
        <v>9</v>
      </c>
      <c r="I10" s="2" t="s">
        <v>21</v>
      </c>
      <c r="J10" s="14" t="s">
        <v>10</v>
      </c>
    </row>
    <row r="11" spans="2:10" ht="33.9" customHeight="1" x14ac:dyDescent="0.3">
      <c r="B11" s="4">
        <v>1</v>
      </c>
      <c r="C11" s="29" t="s">
        <v>29</v>
      </c>
      <c r="D11" s="29"/>
      <c r="E11" s="29"/>
      <c r="F11" s="5">
        <v>1</v>
      </c>
      <c r="G11" s="12">
        <v>3753</v>
      </c>
      <c r="H11" s="4" t="s">
        <v>30</v>
      </c>
      <c r="I11" s="13">
        <v>13</v>
      </c>
      <c r="J11" s="6">
        <f>F11*I11*G11</f>
        <v>48789</v>
      </c>
    </row>
    <row r="12" spans="2:10" ht="17.399999999999999" customHeight="1" x14ac:dyDescent="0.35">
      <c r="B12" s="17"/>
      <c r="C12" s="30" t="s">
        <v>18</v>
      </c>
      <c r="D12" s="30"/>
      <c r="E12" s="30"/>
      <c r="F12" s="30"/>
      <c r="G12" s="30"/>
      <c r="H12" s="30"/>
      <c r="I12" s="30"/>
      <c r="J12" s="7">
        <f>SUM(J11:J11)</f>
        <v>48789</v>
      </c>
    </row>
    <row r="13" spans="2:10" ht="17.399999999999999" customHeight="1" x14ac:dyDescent="0.35">
      <c r="B13" s="17"/>
      <c r="C13" s="31" t="s">
        <v>23</v>
      </c>
      <c r="D13" s="31"/>
      <c r="E13" s="31"/>
      <c r="F13" s="31"/>
      <c r="G13" s="31"/>
      <c r="H13" s="31"/>
      <c r="I13" s="31"/>
      <c r="J13" s="7">
        <v>0</v>
      </c>
    </row>
    <row r="14" spans="2:10" ht="17.399999999999999" customHeight="1" x14ac:dyDescent="0.35">
      <c r="B14" s="17"/>
      <c r="C14" s="31"/>
      <c r="D14" s="31"/>
      <c r="E14" s="31"/>
      <c r="F14" s="31"/>
      <c r="G14" s="31"/>
      <c r="H14" s="31"/>
      <c r="I14" s="31"/>
      <c r="J14" s="7"/>
    </row>
    <row r="15" spans="2:10" ht="17.399999999999999" customHeight="1" x14ac:dyDescent="0.35">
      <c r="B15" s="17"/>
      <c r="C15" s="14"/>
      <c r="D15" s="14"/>
      <c r="E15" s="14"/>
      <c r="F15" s="14"/>
      <c r="G15" s="14"/>
      <c r="H15" s="14"/>
      <c r="I15" s="14"/>
      <c r="J15" s="7">
        <f>J12+J13+J14</f>
        <v>48789</v>
      </c>
    </row>
    <row r="16" spans="2:10" ht="15.5" x14ac:dyDescent="0.35">
      <c r="B16" s="8"/>
      <c r="C16" s="33" t="s">
        <v>31</v>
      </c>
      <c r="D16" s="33"/>
      <c r="E16" s="33"/>
      <c r="F16" s="33"/>
      <c r="G16" s="33"/>
      <c r="H16" s="33"/>
      <c r="I16" s="33"/>
      <c r="J16" s="33"/>
    </row>
    <row r="17" spans="2:12" ht="15.5" x14ac:dyDescent="0.35">
      <c r="B17" s="17"/>
      <c r="C17" s="23" t="s">
        <v>12</v>
      </c>
      <c r="D17" s="23"/>
      <c r="E17" s="23"/>
      <c r="F17" s="8"/>
      <c r="G17" s="8"/>
      <c r="H17" s="8"/>
      <c r="I17" s="8"/>
      <c r="J17" s="9">
        <v>0</v>
      </c>
    </row>
    <row r="18" spans="2:12" ht="15.5" x14ac:dyDescent="0.35">
      <c r="B18" s="17"/>
      <c r="C18" s="23" t="s">
        <v>20</v>
      </c>
      <c r="D18" s="23"/>
      <c r="E18" s="23"/>
      <c r="F18" s="8"/>
      <c r="G18" s="8"/>
      <c r="H18" s="8"/>
      <c r="I18" s="8"/>
      <c r="J18" s="9">
        <v>0</v>
      </c>
    </row>
    <row r="19" spans="2:12" ht="15.5" x14ac:dyDescent="0.35">
      <c r="B19" s="17"/>
      <c r="C19" s="23" t="s">
        <v>13</v>
      </c>
      <c r="D19" s="23"/>
      <c r="E19" s="23"/>
      <c r="F19" s="8"/>
      <c r="G19" s="8" t="s">
        <v>19</v>
      </c>
      <c r="H19" s="8"/>
      <c r="I19" s="8"/>
      <c r="J19" s="18">
        <f>J15</f>
        <v>48789</v>
      </c>
    </row>
    <row r="20" spans="2:12" ht="15.5" x14ac:dyDescent="0.35">
      <c r="B20" s="8"/>
      <c r="C20" s="23"/>
      <c r="D20" s="23"/>
      <c r="E20" s="23"/>
      <c r="F20" s="8"/>
      <c r="G20" s="8"/>
      <c r="H20" s="8"/>
      <c r="I20" s="8"/>
      <c r="J20" s="8"/>
      <c r="L20" s="11"/>
    </row>
    <row r="21" spans="2:12" x14ac:dyDescent="0.3">
      <c r="B21" s="20" t="s">
        <v>14</v>
      </c>
      <c r="C21" s="20"/>
      <c r="D21" s="20"/>
      <c r="E21" s="20"/>
      <c r="F21" s="20"/>
      <c r="G21" s="20"/>
      <c r="H21" s="20"/>
      <c r="I21" s="20"/>
      <c r="J21" s="20"/>
    </row>
    <row r="22" spans="2:12" x14ac:dyDescent="0.3">
      <c r="B22" s="20"/>
      <c r="C22" s="20"/>
      <c r="D22" s="20"/>
      <c r="E22" s="20"/>
      <c r="F22" s="20"/>
      <c r="G22" s="20"/>
      <c r="H22" s="20"/>
      <c r="I22" s="20"/>
      <c r="J22" s="20"/>
    </row>
    <row r="23" spans="2:12" x14ac:dyDescent="0.3">
      <c r="B23" s="20"/>
      <c r="C23" s="20"/>
      <c r="D23" s="20"/>
      <c r="E23" s="20"/>
      <c r="F23" s="20"/>
      <c r="G23" s="20"/>
      <c r="H23" s="20"/>
      <c r="I23" s="20"/>
      <c r="J23" s="20"/>
    </row>
    <row r="26" spans="2:12" ht="14.15" customHeight="1" x14ac:dyDescent="0.3">
      <c r="B26" s="19" t="s">
        <v>15</v>
      </c>
      <c r="C26" s="19"/>
      <c r="D26" s="19"/>
      <c r="E26" s="19"/>
      <c r="F26" s="19"/>
      <c r="G26" s="19"/>
      <c r="H26" s="19"/>
      <c r="I26" s="19"/>
      <c r="J26" s="19"/>
    </row>
    <row r="27" spans="2:12" ht="14.15" customHeight="1" x14ac:dyDescent="0.3">
      <c r="B27" s="19"/>
      <c r="C27" s="19"/>
      <c r="D27" s="19"/>
      <c r="E27" s="19"/>
      <c r="F27" s="19"/>
      <c r="G27" s="19"/>
      <c r="H27" s="19"/>
      <c r="I27" s="19"/>
      <c r="J27" s="19"/>
    </row>
    <row r="28" spans="2:12" x14ac:dyDescent="0.3">
      <c r="B28" s="19"/>
      <c r="C28" s="19"/>
      <c r="D28" s="19"/>
      <c r="E28" s="19"/>
      <c r="F28" s="19"/>
      <c r="G28" s="19"/>
      <c r="H28" s="19"/>
      <c r="I28" s="19"/>
      <c r="J28" s="19"/>
    </row>
    <row r="29" spans="2:12" x14ac:dyDescent="0.3">
      <c r="B29" s="19"/>
      <c r="C29" s="19"/>
      <c r="D29" s="19"/>
      <c r="E29" s="19"/>
      <c r="F29" s="19"/>
      <c r="G29" s="19"/>
      <c r="H29" s="19"/>
      <c r="I29" s="19"/>
      <c r="J29" s="19"/>
    </row>
    <row r="30" spans="2:12" ht="15.5" x14ac:dyDescent="0.35">
      <c r="B30" s="8"/>
      <c r="C30" s="8"/>
      <c r="D30" s="8"/>
      <c r="E30" s="8"/>
      <c r="F30" s="8"/>
      <c r="G30" s="8"/>
      <c r="H30" s="8"/>
      <c r="I30" s="8"/>
      <c r="J30" s="8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</sheetData>
  <mergeCells count="27">
    <mergeCell ref="B26:J27"/>
    <mergeCell ref="B28:J29"/>
    <mergeCell ref="C16:J16"/>
    <mergeCell ref="C17:E17"/>
    <mergeCell ref="C18:E18"/>
    <mergeCell ref="C19:E19"/>
    <mergeCell ref="C20:E20"/>
    <mergeCell ref="B21:J23"/>
    <mergeCell ref="C12:I12"/>
    <mergeCell ref="C13:I13"/>
    <mergeCell ref="C14:I14"/>
    <mergeCell ref="B9:J9"/>
    <mergeCell ref="C10:E10"/>
    <mergeCell ref="C11:E11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DE266-4166-444E-8C99-6E90665B3A76}">
  <sheetPr>
    <pageSetUpPr fitToPage="1"/>
  </sheetPr>
  <dimension ref="B2:N32"/>
  <sheetViews>
    <sheetView topLeftCell="A6" zoomScaleNormal="100" workbookViewId="0">
      <selection activeCell="L13" sqref="L13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4" ht="17.5" x14ac:dyDescent="0.35">
      <c r="B2" s="21" t="s">
        <v>0</v>
      </c>
      <c r="C2" s="21"/>
      <c r="D2" s="21"/>
      <c r="E2" s="21"/>
      <c r="F2" s="21"/>
      <c r="G2" s="21"/>
      <c r="H2" s="21"/>
      <c r="I2" s="21"/>
      <c r="J2" s="21"/>
    </row>
    <row r="3" spans="2:14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4" ht="15.65" customHeight="1" x14ac:dyDescent="0.35">
      <c r="B4" s="22" t="s">
        <v>16</v>
      </c>
      <c r="C4" s="22"/>
      <c r="D4" s="23" t="s">
        <v>25</v>
      </c>
      <c r="E4" s="23"/>
      <c r="F4" s="23"/>
      <c r="G4" s="23"/>
      <c r="H4" s="24" t="s">
        <v>22</v>
      </c>
      <c r="I4" s="24"/>
      <c r="J4" s="8">
        <v>2</v>
      </c>
    </row>
    <row r="5" spans="2:14" ht="18.899999999999999" customHeight="1" x14ac:dyDescent="0.3">
      <c r="B5" s="19" t="s">
        <v>1</v>
      </c>
      <c r="C5" s="19"/>
      <c r="D5" s="20" t="s">
        <v>26</v>
      </c>
      <c r="E5" s="20"/>
      <c r="F5" s="20"/>
      <c r="G5" s="20"/>
      <c r="H5" s="20"/>
      <c r="I5" s="20"/>
      <c r="J5" s="20"/>
    </row>
    <row r="6" spans="2:14" ht="30.9" customHeight="1" x14ac:dyDescent="0.35">
      <c r="B6" s="25" t="s">
        <v>24</v>
      </c>
      <c r="C6" s="25"/>
      <c r="D6" s="25"/>
      <c r="E6" s="25"/>
      <c r="F6" s="25"/>
      <c r="G6" s="25"/>
      <c r="H6" s="10" t="s">
        <v>2</v>
      </c>
      <c r="I6" s="26">
        <v>45575</v>
      </c>
      <c r="J6" s="27"/>
    </row>
    <row r="7" spans="2:14" ht="20.149999999999999" customHeight="1" x14ac:dyDescent="0.3">
      <c r="B7" s="28" t="s">
        <v>3</v>
      </c>
      <c r="C7" s="28"/>
      <c r="D7" s="29" t="s">
        <v>27</v>
      </c>
      <c r="E7" s="29"/>
      <c r="F7" s="29"/>
      <c r="G7" s="29"/>
      <c r="H7" s="3" t="s">
        <v>17</v>
      </c>
      <c r="I7" s="26">
        <v>45573</v>
      </c>
      <c r="J7" s="27"/>
    </row>
    <row r="8" spans="2:14" ht="18.899999999999999" customHeight="1" x14ac:dyDescent="0.3">
      <c r="B8" s="19" t="s">
        <v>5</v>
      </c>
      <c r="C8" s="19"/>
      <c r="D8" s="20" t="s">
        <v>28</v>
      </c>
      <c r="E8" s="20"/>
      <c r="F8" s="20"/>
      <c r="G8" s="20"/>
      <c r="H8" s="20"/>
      <c r="I8" s="20"/>
      <c r="J8" s="20"/>
    </row>
    <row r="9" spans="2:14" ht="20.399999999999999" customHeight="1" x14ac:dyDescent="0.3">
      <c r="B9" s="19" t="s">
        <v>4</v>
      </c>
      <c r="C9" s="19"/>
      <c r="D9" s="19"/>
      <c r="E9" s="19"/>
      <c r="F9" s="19"/>
      <c r="G9" s="19"/>
      <c r="H9" s="19"/>
      <c r="I9" s="19"/>
      <c r="J9" s="19"/>
    </row>
    <row r="10" spans="2:14" ht="30" x14ac:dyDescent="0.3">
      <c r="B10" s="2" t="s">
        <v>11</v>
      </c>
      <c r="C10" s="32" t="s">
        <v>6</v>
      </c>
      <c r="D10" s="32"/>
      <c r="E10" s="32"/>
      <c r="F10" s="3" t="s">
        <v>7</v>
      </c>
      <c r="G10" s="15" t="s">
        <v>8</v>
      </c>
      <c r="H10" s="15" t="s">
        <v>9</v>
      </c>
      <c r="I10" s="2" t="s">
        <v>21</v>
      </c>
      <c r="J10" s="14" t="s">
        <v>10</v>
      </c>
    </row>
    <row r="11" spans="2:14" ht="33.9" customHeight="1" x14ac:dyDescent="0.3">
      <c r="B11" s="4">
        <v>1</v>
      </c>
      <c r="C11" s="29" t="s">
        <v>32</v>
      </c>
      <c r="D11" s="29"/>
      <c r="E11" s="29"/>
      <c r="F11" s="5">
        <v>1</v>
      </c>
      <c r="G11" s="12">
        <v>8500</v>
      </c>
      <c r="H11" s="4" t="s">
        <v>30</v>
      </c>
      <c r="I11" s="13">
        <v>12</v>
      </c>
      <c r="J11" s="6">
        <f>F11*I11*G11</f>
        <v>102000</v>
      </c>
    </row>
    <row r="12" spans="2:14" ht="33.9" customHeight="1" x14ac:dyDescent="0.3">
      <c r="B12" s="4">
        <v>2</v>
      </c>
      <c r="C12" s="29" t="s">
        <v>33</v>
      </c>
      <c r="D12" s="29"/>
      <c r="E12" s="29"/>
      <c r="F12" s="5">
        <v>1</v>
      </c>
      <c r="G12" s="12">
        <v>5500</v>
      </c>
      <c r="H12" s="4" t="s">
        <v>30</v>
      </c>
      <c r="I12" s="13">
        <v>6</v>
      </c>
      <c r="J12" s="6">
        <f>F12*I12*G12</f>
        <v>33000</v>
      </c>
      <c r="L12" s="1">
        <f>158716-135000</f>
        <v>23716</v>
      </c>
    </row>
    <row r="13" spans="2:14" ht="17.399999999999999" customHeight="1" x14ac:dyDescent="0.35">
      <c r="B13" s="17"/>
      <c r="C13" s="30" t="s">
        <v>18</v>
      </c>
      <c r="D13" s="30"/>
      <c r="E13" s="30"/>
      <c r="F13" s="30"/>
      <c r="G13" s="30"/>
      <c r="H13" s="30"/>
      <c r="I13" s="30"/>
      <c r="J13" s="7">
        <f>SUM(J11:J12)</f>
        <v>135000</v>
      </c>
      <c r="L13" s="1">
        <f>L12/12</f>
        <v>1976.3333333333333</v>
      </c>
      <c r="N13" s="1">
        <f>1975*12</f>
        <v>23700</v>
      </c>
    </row>
    <row r="14" spans="2:14" ht="17.399999999999999" customHeight="1" x14ac:dyDescent="0.35">
      <c r="B14" s="17"/>
      <c r="C14" s="31" t="s">
        <v>23</v>
      </c>
      <c r="D14" s="31"/>
      <c r="E14" s="31"/>
      <c r="F14" s="31"/>
      <c r="G14" s="31"/>
      <c r="H14" s="31"/>
      <c r="I14" s="31"/>
      <c r="J14" s="7">
        <v>0</v>
      </c>
    </row>
    <row r="15" spans="2:14" ht="17.399999999999999" customHeight="1" x14ac:dyDescent="0.35">
      <c r="B15" s="17"/>
      <c r="C15" s="31"/>
      <c r="D15" s="31"/>
      <c r="E15" s="31"/>
      <c r="F15" s="31"/>
      <c r="G15" s="31"/>
      <c r="H15" s="31"/>
      <c r="I15" s="31"/>
      <c r="J15" s="7"/>
    </row>
    <row r="16" spans="2:14" ht="17.399999999999999" customHeight="1" x14ac:dyDescent="0.35">
      <c r="B16" s="17"/>
      <c r="C16" s="14"/>
      <c r="D16" s="14"/>
      <c r="E16" s="14"/>
      <c r="F16" s="14"/>
      <c r="G16" s="14"/>
      <c r="H16" s="14"/>
      <c r="I16" s="14"/>
      <c r="J16" s="7">
        <f>J13+J14+J15</f>
        <v>135000</v>
      </c>
    </row>
    <row r="17" spans="2:12" ht="15.5" x14ac:dyDescent="0.35">
      <c r="B17" s="8"/>
      <c r="C17" s="33" t="s">
        <v>34</v>
      </c>
      <c r="D17" s="33"/>
      <c r="E17" s="33"/>
      <c r="F17" s="33"/>
      <c r="G17" s="33"/>
      <c r="H17" s="33"/>
      <c r="I17" s="33"/>
      <c r="J17" s="33"/>
    </row>
    <row r="18" spans="2:12" ht="15.5" x14ac:dyDescent="0.35">
      <c r="B18" s="17"/>
      <c r="C18" s="23" t="s">
        <v>12</v>
      </c>
      <c r="D18" s="23"/>
      <c r="E18" s="23"/>
      <c r="F18" s="8"/>
      <c r="G18" s="8"/>
      <c r="H18" s="8"/>
      <c r="I18" s="8"/>
      <c r="J18" s="9">
        <v>0</v>
      </c>
    </row>
    <row r="19" spans="2:12" ht="15.5" x14ac:dyDescent="0.35">
      <c r="B19" s="17"/>
      <c r="C19" s="23" t="s">
        <v>20</v>
      </c>
      <c r="D19" s="23"/>
      <c r="E19" s="23"/>
      <c r="F19" s="8"/>
      <c r="G19" s="8"/>
      <c r="H19" s="8"/>
      <c r="I19" s="8"/>
      <c r="J19" s="9">
        <v>0</v>
      </c>
    </row>
    <row r="20" spans="2:12" ht="15.5" x14ac:dyDescent="0.35">
      <c r="B20" s="17"/>
      <c r="C20" s="23" t="s">
        <v>13</v>
      </c>
      <c r="D20" s="23"/>
      <c r="E20" s="23"/>
      <c r="F20" s="8"/>
      <c r="G20" s="8" t="s">
        <v>19</v>
      </c>
      <c r="H20" s="8"/>
      <c r="I20" s="8"/>
      <c r="J20" s="18">
        <f>J16</f>
        <v>135000</v>
      </c>
    </row>
    <row r="21" spans="2:12" ht="15.5" x14ac:dyDescent="0.35">
      <c r="B21" s="8"/>
      <c r="C21" s="23"/>
      <c r="D21" s="23"/>
      <c r="E21" s="23"/>
      <c r="F21" s="8"/>
      <c r="G21" s="8"/>
      <c r="H21" s="8"/>
      <c r="I21" s="8"/>
      <c r="J21" s="8"/>
      <c r="L21" s="11"/>
    </row>
    <row r="22" spans="2:12" x14ac:dyDescent="0.3">
      <c r="B22" s="20" t="s">
        <v>14</v>
      </c>
      <c r="C22" s="20"/>
      <c r="D22" s="20"/>
      <c r="E22" s="20"/>
      <c r="F22" s="20"/>
      <c r="G22" s="20"/>
      <c r="H22" s="20"/>
      <c r="I22" s="20"/>
      <c r="J22" s="20"/>
    </row>
    <row r="23" spans="2:12" x14ac:dyDescent="0.3">
      <c r="B23" s="20"/>
      <c r="C23" s="20"/>
      <c r="D23" s="20"/>
      <c r="E23" s="20"/>
      <c r="F23" s="20"/>
      <c r="G23" s="20"/>
      <c r="H23" s="20"/>
      <c r="I23" s="20"/>
      <c r="J23" s="20"/>
    </row>
    <row r="24" spans="2:12" x14ac:dyDescent="0.3">
      <c r="B24" s="20"/>
      <c r="C24" s="20"/>
      <c r="D24" s="20"/>
      <c r="E24" s="20"/>
      <c r="F24" s="20"/>
      <c r="G24" s="20"/>
      <c r="H24" s="20"/>
      <c r="I24" s="20"/>
      <c r="J24" s="20"/>
    </row>
    <row r="27" spans="2:12" ht="14.15" customHeight="1" x14ac:dyDescent="0.3">
      <c r="B27" s="19" t="s">
        <v>15</v>
      </c>
      <c r="C27" s="19"/>
      <c r="D27" s="19"/>
      <c r="E27" s="19"/>
      <c r="F27" s="19"/>
      <c r="G27" s="19"/>
      <c r="H27" s="19"/>
      <c r="I27" s="19"/>
      <c r="J27" s="19"/>
    </row>
    <row r="28" spans="2:12" ht="14.15" customHeight="1" x14ac:dyDescent="0.3">
      <c r="B28" s="19"/>
      <c r="C28" s="19"/>
      <c r="D28" s="19"/>
      <c r="E28" s="19"/>
      <c r="F28" s="19"/>
      <c r="G28" s="19"/>
      <c r="H28" s="19"/>
      <c r="I28" s="19"/>
      <c r="J28" s="19"/>
    </row>
    <row r="29" spans="2:12" x14ac:dyDescent="0.3">
      <c r="B29" s="19"/>
      <c r="C29" s="19"/>
      <c r="D29" s="19"/>
      <c r="E29" s="19"/>
      <c r="F29" s="19"/>
      <c r="G29" s="19"/>
      <c r="H29" s="19"/>
      <c r="I29" s="19"/>
      <c r="J29" s="19"/>
    </row>
    <row r="30" spans="2:12" x14ac:dyDescent="0.3">
      <c r="B30" s="19"/>
      <c r="C30" s="19"/>
      <c r="D30" s="19"/>
      <c r="E30" s="19"/>
      <c r="F30" s="19"/>
      <c r="G30" s="19"/>
      <c r="H30" s="19"/>
      <c r="I30" s="19"/>
      <c r="J30" s="19"/>
    </row>
    <row r="31" spans="2:12" ht="15" x14ac:dyDescent="0.3">
      <c r="B31" s="22" t="s">
        <v>35</v>
      </c>
      <c r="C31" s="22"/>
      <c r="D31" s="22"/>
      <c r="E31" s="22"/>
      <c r="F31" s="22"/>
      <c r="G31" s="22"/>
      <c r="H31" s="22"/>
      <c r="I31" s="22"/>
      <c r="J31" s="22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</sheetData>
  <mergeCells count="29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B9:J9"/>
    <mergeCell ref="C10:E10"/>
    <mergeCell ref="C12:E12"/>
    <mergeCell ref="C13:I13"/>
    <mergeCell ref="C14:I14"/>
    <mergeCell ref="B27:J28"/>
    <mergeCell ref="B29:J30"/>
    <mergeCell ref="C11:E11"/>
    <mergeCell ref="B31:J31"/>
    <mergeCell ref="C17:J17"/>
    <mergeCell ref="C18:E18"/>
    <mergeCell ref="C19:E19"/>
    <mergeCell ref="C20:E20"/>
    <mergeCell ref="C21:E21"/>
    <mergeCell ref="B22:J24"/>
    <mergeCell ref="C15:I15"/>
  </mergeCells>
  <pageMargins left="0.7" right="0.7" top="0.75" bottom="0.75" header="0.3" footer="0.3"/>
  <pageSetup paperSize="9" scale="7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8FA1A-2F4D-4C31-A3A7-BFB1C4FB7175}">
  <sheetPr>
    <pageSetUpPr fitToPage="1"/>
  </sheetPr>
  <dimension ref="A2:L33"/>
  <sheetViews>
    <sheetView topLeftCell="A7" zoomScaleNormal="100" workbookViewId="0">
      <selection activeCell="B13" sqref="B13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1:10" ht="17.5" x14ac:dyDescent="0.35">
      <c r="B2" s="21" t="s">
        <v>0</v>
      </c>
      <c r="C2" s="21"/>
      <c r="D2" s="21"/>
      <c r="E2" s="21"/>
      <c r="F2" s="21"/>
      <c r="G2" s="21"/>
      <c r="H2" s="21"/>
      <c r="I2" s="21"/>
      <c r="J2" s="21"/>
    </row>
    <row r="3" spans="1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1:10" ht="15.65" customHeight="1" x14ac:dyDescent="0.35">
      <c r="B4" s="22" t="s">
        <v>16</v>
      </c>
      <c r="C4" s="22"/>
      <c r="D4" s="23" t="s">
        <v>25</v>
      </c>
      <c r="E4" s="23"/>
      <c r="F4" s="23"/>
      <c r="G4" s="23"/>
      <c r="H4" s="24" t="s">
        <v>22</v>
      </c>
      <c r="I4" s="24"/>
      <c r="J4" s="8">
        <v>3</v>
      </c>
    </row>
    <row r="5" spans="1:10" ht="18.899999999999999" customHeight="1" x14ac:dyDescent="0.3">
      <c r="B5" s="19" t="s">
        <v>1</v>
      </c>
      <c r="C5" s="19"/>
      <c r="D5" s="20" t="s">
        <v>26</v>
      </c>
      <c r="E5" s="20"/>
      <c r="F5" s="20"/>
      <c r="G5" s="20"/>
      <c r="H5" s="20"/>
      <c r="I5" s="20"/>
      <c r="J5" s="20"/>
    </row>
    <row r="6" spans="1:10" ht="30.9" customHeight="1" x14ac:dyDescent="0.35">
      <c r="B6" s="25" t="s">
        <v>24</v>
      </c>
      <c r="C6" s="25"/>
      <c r="D6" s="25"/>
      <c r="E6" s="25"/>
      <c r="F6" s="25"/>
      <c r="G6" s="25"/>
      <c r="H6" s="10" t="s">
        <v>2</v>
      </c>
      <c r="I6" s="26">
        <v>45658</v>
      </c>
      <c r="J6" s="27"/>
    </row>
    <row r="7" spans="1:10" ht="20.149999999999999" customHeight="1" x14ac:dyDescent="0.3">
      <c r="B7" s="28" t="s">
        <v>3</v>
      </c>
      <c r="C7" s="28"/>
      <c r="D7" s="29" t="s">
        <v>27</v>
      </c>
      <c r="E7" s="29"/>
      <c r="F7" s="29"/>
      <c r="G7" s="29"/>
      <c r="H7" s="3" t="s">
        <v>17</v>
      </c>
      <c r="I7" s="26">
        <v>45658</v>
      </c>
      <c r="J7" s="27"/>
    </row>
    <row r="8" spans="1:10" ht="18.899999999999999" customHeight="1" x14ac:dyDescent="0.3">
      <c r="B8" s="19" t="s">
        <v>5</v>
      </c>
      <c r="C8" s="19"/>
      <c r="D8" s="20" t="s">
        <v>28</v>
      </c>
      <c r="E8" s="20"/>
      <c r="F8" s="20"/>
      <c r="G8" s="20"/>
      <c r="H8" s="20"/>
      <c r="I8" s="20"/>
      <c r="J8" s="20"/>
    </row>
    <row r="9" spans="1:10" ht="20.399999999999999" customHeight="1" x14ac:dyDescent="0.3">
      <c r="B9" s="19" t="s">
        <v>4</v>
      </c>
      <c r="C9" s="19"/>
      <c r="D9" s="19"/>
      <c r="E9" s="19"/>
      <c r="F9" s="19"/>
      <c r="G9" s="19"/>
      <c r="H9" s="19"/>
      <c r="I9" s="19"/>
      <c r="J9" s="19"/>
    </row>
    <row r="10" spans="1:10" ht="30" x14ac:dyDescent="0.3">
      <c r="B10" s="2" t="s">
        <v>11</v>
      </c>
      <c r="C10" s="32" t="s">
        <v>6</v>
      </c>
      <c r="D10" s="32"/>
      <c r="E10" s="32"/>
      <c r="F10" s="3" t="s">
        <v>7</v>
      </c>
      <c r="G10" s="15" t="s">
        <v>8</v>
      </c>
      <c r="H10" s="15" t="s">
        <v>9</v>
      </c>
      <c r="I10" s="2" t="s">
        <v>21</v>
      </c>
      <c r="J10" s="14" t="s">
        <v>10</v>
      </c>
    </row>
    <row r="11" spans="1:10" ht="33.9" customHeight="1" x14ac:dyDescent="0.3">
      <c r="B11" s="4">
        <v>1</v>
      </c>
      <c r="C11" s="29" t="s">
        <v>36</v>
      </c>
      <c r="D11" s="29"/>
      <c r="E11" s="29"/>
      <c r="F11" s="5">
        <v>1</v>
      </c>
      <c r="G11" s="12">
        <v>9451</v>
      </c>
      <c r="H11" s="4" t="s">
        <v>30</v>
      </c>
      <c r="I11" s="13">
        <v>12</v>
      </c>
      <c r="J11" s="6">
        <f>F11*I11*G11</f>
        <v>113412</v>
      </c>
    </row>
    <row r="12" spans="1:10" ht="33.9" customHeight="1" x14ac:dyDescent="0.3">
      <c r="A12" s="1" t="s">
        <v>38</v>
      </c>
      <c r="B12" s="4">
        <v>2</v>
      </c>
      <c r="C12" s="29" t="s">
        <v>37</v>
      </c>
      <c r="D12" s="29"/>
      <c r="E12" s="29"/>
      <c r="F12" s="5">
        <v>1</v>
      </c>
      <c r="G12" s="12">
        <v>3686</v>
      </c>
      <c r="H12" s="4" t="s">
        <v>30</v>
      </c>
      <c r="I12" s="13">
        <v>6</v>
      </c>
      <c r="J12" s="6">
        <f>F12*I12*G12</f>
        <v>22116</v>
      </c>
    </row>
    <row r="13" spans="1:10" ht="33.9" customHeight="1" x14ac:dyDescent="0.3">
      <c r="B13" s="4">
        <v>3</v>
      </c>
      <c r="C13" s="29" t="s">
        <v>39</v>
      </c>
      <c r="D13" s="29"/>
      <c r="E13" s="29"/>
      <c r="F13" s="5">
        <v>1</v>
      </c>
      <c r="G13" s="12">
        <v>1967</v>
      </c>
      <c r="H13" s="4" t="s">
        <v>30</v>
      </c>
      <c r="I13" s="13">
        <v>12</v>
      </c>
      <c r="J13" s="6">
        <f>F13*I13*G13</f>
        <v>23604</v>
      </c>
    </row>
    <row r="14" spans="1:10" ht="17.399999999999999" customHeight="1" x14ac:dyDescent="0.35">
      <c r="B14" s="17"/>
      <c r="C14" s="30" t="s">
        <v>18</v>
      </c>
      <c r="D14" s="30"/>
      <c r="E14" s="30"/>
      <c r="F14" s="30"/>
      <c r="G14" s="30"/>
      <c r="H14" s="30"/>
      <c r="I14" s="30"/>
      <c r="J14" s="7">
        <f>SUM(J11:J13)</f>
        <v>159132</v>
      </c>
    </row>
    <row r="15" spans="1:10" ht="17.399999999999999" customHeight="1" x14ac:dyDescent="0.35">
      <c r="B15" s="17"/>
      <c r="C15" s="31" t="s">
        <v>23</v>
      </c>
      <c r="D15" s="31"/>
      <c r="E15" s="31"/>
      <c r="F15" s="31"/>
      <c r="G15" s="31"/>
      <c r="H15" s="31"/>
      <c r="I15" s="31"/>
      <c r="J15" s="7">
        <v>0</v>
      </c>
    </row>
    <row r="16" spans="1:10" ht="17.399999999999999" customHeight="1" x14ac:dyDescent="0.35">
      <c r="B16" s="17"/>
      <c r="C16" s="31"/>
      <c r="D16" s="31"/>
      <c r="E16" s="31"/>
      <c r="F16" s="31"/>
      <c r="G16" s="31"/>
      <c r="H16" s="31"/>
      <c r="I16" s="31"/>
      <c r="J16" s="7"/>
    </row>
    <row r="17" spans="2:12" ht="17.399999999999999" customHeight="1" x14ac:dyDescent="0.35">
      <c r="B17" s="17"/>
      <c r="C17" s="14"/>
      <c r="D17" s="14"/>
      <c r="E17" s="14"/>
      <c r="F17" s="14"/>
      <c r="G17" s="14"/>
      <c r="H17" s="14"/>
      <c r="I17" s="14"/>
      <c r="J17" s="7">
        <f>J14+J15+J16</f>
        <v>159132</v>
      </c>
    </row>
    <row r="18" spans="2:12" ht="15.5" x14ac:dyDescent="0.35">
      <c r="B18" s="8"/>
      <c r="C18" s="33" t="s">
        <v>40</v>
      </c>
      <c r="D18" s="33"/>
      <c r="E18" s="33"/>
      <c r="F18" s="33"/>
      <c r="G18" s="33"/>
      <c r="H18" s="33"/>
      <c r="I18" s="33"/>
      <c r="J18" s="33"/>
    </row>
    <row r="19" spans="2:12" ht="15.5" x14ac:dyDescent="0.35">
      <c r="B19" s="17"/>
      <c r="C19" s="23" t="s">
        <v>12</v>
      </c>
      <c r="D19" s="23"/>
      <c r="E19" s="23"/>
      <c r="F19" s="8"/>
      <c r="G19" s="8"/>
      <c r="H19" s="8"/>
      <c r="I19" s="8"/>
      <c r="J19" s="9">
        <v>0</v>
      </c>
    </row>
    <row r="20" spans="2:12" ht="15.5" x14ac:dyDescent="0.35">
      <c r="B20" s="17"/>
      <c r="C20" s="23" t="s">
        <v>20</v>
      </c>
      <c r="D20" s="23"/>
      <c r="E20" s="23"/>
      <c r="F20" s="8"/>
      <c r="G20" s="8"/>
      <c r="H20" s="8"/>
      <c r="I20" s="8"/>
      <c r="J20" s="9">
        <v>0</v>
      </c>
    </row>
    <row r="21" spans="2:12" ht="15.5" x14ac:dyDescent="0.35">
      <c r="B21" s="17"/>
      <c r="C21" s="23" t="s">
        <v>13</v>
      </c>
      <c r="D21" s="23"/>
      <c r="E21" s="23"/>
      <c r="F21" s="8"/>
      <c r="G21" s="8" t="s">
        <v>19</v>
      </c>
      <c r="H21" s="8"/>
      <c r="I21" s="8"/>
      <c r="J21" s="18">
        <f>J17</f>
        <v>159132</v>
      </c>
    </row>
    <row r="22" spans="2:12" ht="15.5" x14ac:dyDescent="0.35">
      <c r="B22" s="8"/>
      <c r="C22" s="23"/>
      <c r="D22" s="23"/>
      <c r="E22" s="23"/>
      <c r="F22" s="8"/>
      <c r="G22" s="8"/>
      <c r="H22" s="8"/>
      <c r="I22" s="8"/>
      <c r="J22" s="8"/>
      <c r="L22" s="11"/>
    </row>
    <row r="23" spans="2:12" x14ac:dyDescent="0.3">
      <c r="B23" s="20" t="s">
        <v>14</v>
      </c>
      <c r="C23" s="20"/>
      <c r="D23" s="20"/>
      <c r="E23" s="20"/>
      <c r="F23" s="20"/>
      <c r="G23" s="20"/>
      <c r="H23" s="20"/>
      <c r="I23" s="20"/>
      <c r="J23" s="20"/>
    </row>
    <row r="24" spans="2:12" x14ac:dyDescent="0.3">
      <c r="B24" s="20"/>
      <c r="C24" s="20"/>
      <c r="D24" s="20"/>
      <c r="E24" s="20"/>
      <c r="F24" s="20"/>
      <c r="G24" s="20"/>
      <c r="H24" s="20"/>
      <c r="I24" s="20"/>
      <c r="J24" s="20"/>
    </row>
    <row r="25" spans="2:12" x14ac:dyDescent="0.3">
      <c r="B25" s="20"/>
      <c r="C25" s="20"/>
      <c r="D25" s="20"/>
      <c r="E25" s="20"/>
      <c r="F25" s="20"/>
      <c r="G25" s="20"/>
      <c r="H25" s="20"/>
      <c r="I25" s="20"/>
      <c r="J25" s="20"/>
    </row>
    <row r="28" spans="2:12" ht="14.15" customHeight="1" x14ac:dyDescent="0.3">
      <c r="B28" s="19" t="s">
        <v>15</v>
      </c>
      <c r="C28" s="19"/>
      <c r="D28" s="19"/>
      <c r="E28" s="19"/>
      <c r="F28" s="19"/>
      <c r="G28" s="19"/>
      <c r="H28" s="19"/>
      <c r="I28" s="19"/>
      <c r="J28" s="19"/>
    </row>
    <row r="29" spans="2:12" ht="14.15" customHeight="1" x14ac:dyDescent="0.3">
      <c r="B29" s="19"/>
      <c r="C29" s="19"/>
      <c r="D29" s="19"/>
      <c r="E29" s="19"/>
      <c r="F29" s="19"/>
      <c r="G29" s="19"/>
      <c r="H29" s="19"/>
      <c r="I29" s="19"/>
      <c r="J29" s="19"/>
    </row>
    <row r="30" spans="2:12" x14ac:dyDescent="0.3">
      <c r="B30" s="19"/>
      <c r="C30" s="19"/>
      <c r="D30" s="19"/>
      <c r="E30" s="19"/>
      <c r="F30" s="19"/>
      <c r="G30" s="19"/>
      <c r="H30" s="19"/>
      <c r="I30" s="19"/>
      <c r="J30" s="19"/>
    </row>
    <row r="31" spans="2:12" x14ac:dyDescent="0.3">
      <c r="B31" s="19"/>
      <c r="C31" s="19"/>
      <c r="D31" s="19"/>
      <c r="E31" s="19"/>
      <c r="F31" s="19"/>
      <c r="G31" s="19"/>
      <c r="H31" s="19"/>
      <c r="I31" s="19"/>
      <c r="J31" s="19"/>
    </row>
    <row r="32" spans="2:12" ht="15" x14ac:dyDescent="0.3">
      <c r="B32" s="22" t="s">
        <v>35</v>
      </c>
      <c r="C32" s="22"/>
      <c r="D32" s="22"/>
      <c r="E32" s="22"/>
      <c r="F32" s="22"/>
      <c r="G32" s="22"/>
      <c r="H32" s="22"/>
      <c r="I32" s="22"/>
      <c r="J32" s="22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</sheetData>
  <mergeCells count="30">
    <mergeCell ref="B23:J25"/>
    <mergeCell ref="B28:J29"/>
    <mergeCell ref="B30:J31"/>
    <mergeCell ref="B32:J32"/>
    <mergeCell ref="C16:I16"/>
    <mergeCell ref="C18:J18"/>
    <mergeCell ref="C19:E19"/>
    <mergeCell ref="C20:E20"/>
    <mergeCell ref="C21:E21"/>
    <mergeCell ref="C22:E22"/>
    <mergeCell ref="C15:I15"/>
    <mergeCell ref="B6:G6"/>
    <mergeCell ref="I6:J6"/>
    <mergeCell ref="B7:C7"/>
    <mergeCell ref="D7:G7"/>
    <mergeCell ref="I7:J7"/>
    <mergeCell ref="B8:C8"/>
    <mergeCell ref="D8:J8"/>
    <mergeCell ref="C12:E12"/>
    <mergeCell ref="B9:J9"/>
    <mergeCell ref="C10:E10"/>
    <mergeCell ref="C11:E11"/>
    <mergeCell ref="C13:E13"/>
    <mergeCell ref="C14:I14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7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F412-11E2-4934-B2C5-8F9E31D20F5F}">
  <sheetPr>
    <pageSetUpPr fitToPage="1"/>
  </sheetPr>
  <dimension ref="A2:M36"/>
  <sheetViews>
    <sheetView tabSelected="1" topLeftCell="A12" zoomScaleNormal="100" workbookViewId="0">
      <selection activeCell="M14" sqref="M14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3" width="11.54296875" style="1" bestFit="1" customWidth="1"/>
    <col min="14" max="16384" width="8.6328125" style="1"/>
  </cols>
  <sheetData>
    <row r="2" spans="1:13" ht="17.5" x14ac:dyDescent="0.35">
      <c r="B2" s="21" t="s">
        <v>0</v>
      </c>
      <c r="C2" s="21"/>
      <c r="D2" s="21"/>
      <c r="E2" s="21"/>
      <c r="F2" s="21"/>
      <c r="G2" s="21"/>
      <c r="H2" s="21"/>
      <c r="I2" s="21"/>
      <c r="J2" s="21"/>
    </row>
    <row r="3" spans="1:13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1:13" ht="15.65" customHeight="1" x14ac:dyDescent="0.35">
      <c r="B4" s="22" t="s">
        <v>16</v>
      </c>
      <c r="C4" s="22"/>
      <c r="D4" s="23" t="s">
        <v>25</v>
      </c>
      <c r="E4" s="23"/>
      <c r="F4" s="23"/>
      <c r="G4" s="23"/>
      <c r="H4" s="24" t="s">
        <v>22</v>
      </c>
      <c r="I4" s="24"/>
      <c r="J4" s="8">
        <v>4</v>
      </c>
    </row>
    <row r="5" spans="1:13" ht="18.899999999999999" customHeight="1" x14ac:dyDescent="0.3">
      <c r="B5" s="19" t="s">
        <v>1</v>
      </c>
      <c r="C5" s="19"/>
      <c r="D5" s="20" t="s">
        <v>26</v>
      </c>
      <c r="E5" s="20"/>
      <c r="F5" s="20"/>
      <c r="G5" s="20"/>
      <c r="H5" s="20"/>
      <c r="I5" s="20"/>
      <c r="J5" s="20"/>
    </row>
    <row r="6" spans="1:13" ht="30.9" customHeight="1" x14ac:dyDescent="0.35">
      <c r="B6" s="25" t="s">
        <v>24</v>
      </c>
      <c r="C6" s="25"/>
      <c r="D6" s="25"/>
      <c r="E6" s="25"/>
      <c r="F6" s="25"/>
      <c r="G6" s="25"/>
      <c r="H6" s="10" t="s">
        <v>2</v>
      </c>
      <c r="I6" s="26">
        <v>45713</v>
      </c>
      <c r="J6" s="27"/>
    </row>
    <row r="7" spans="1:13" ht="20.149999999999999" customHeight="1" x14ac:dyDescent="0.3">
      <c r="B7" s="28" t="s">
        <v>3</v>
      </c>
      <c r="C7" s="28"/>
      <c r="D7" s="29" t="s">
        <v>27</v>
      </c>
      <c r="E7" s="29"/>
      <c r="F7" s="29"/>
      <c r="G7" s="29"/>
      <c r="H7" s="3" t="s">
        <v>17</v>
      </c>
      <c r="I7" s="26">
        <v>45710</v>
      </c>
      <c r="J7" s="27"/>
    </row>
    <row r="8" spans="1:13" ht="18.899999999999999" customHeight="1" x14ac:dyDescent="0.3">
      <c r="B8" s="19" t="s">
        <v>5</v>
      </c>
      <c r="C8" s="19"/>
      <c r="D8" s="20" t="s">
        <v>28</v>
      </c>
      <c r="E8" s="20"/>
      <c r="F8" s="20"/>
      <c r="G8" s="20"/>
      <c r="H8" s="20"/>
      <c r="I8" s="20"/>
      <c r="J8" s="20"/>
    </row>
    <row r="9" spans="1:13" ht="20.399999999999999" customHeight="1" x14ac:dyDescent="0.3">
      <c r="B9" s="19" t="s">
        <v>4</v>
      </c>
      <c r="C9" s="19"/>
      <c r="D9" s="19"/>
      <c r="E9" s="19"/>
      <c r="F9" s="19"/>
      <c r="G9" s="19"/>
      <c r="H9" s="19"/>
      <c r="I9" s="19"/>
      <c r="J9" s="19"/>
    </row>
    <row r="10" spans="1:13" ht="30" x14ac:dyDescent="0.3">
      <c r="B10" s="2" t="s">
        <v>11</v>
      </c>
      <c r="C10" s="32" t="s">
        <v>6</v>
      </c>
      <c r="D10" s="32"/>
      <c r="E10" s="32"/>
      <c r="F10" s="3" t="s">
        <v>7</v>
      </c>
      <c r="G10" s="15" t="s">
        <v>8</v>
      </c>
      <c r="H10" s="15" t="s">
        <v>9</v>
      </c>
      <c r="I10" s="2" t="s">
        <v>21</v>
      </c>
      <c r="J10" s="14" t="s">
        <v>10</v>
      </c>
    </row>
    <row r="11" spans="1:13" ht="33.9" customHeight="1" x14ac:dyDescent="0.3">
      <c r="B11" s="4">
        <v>1</v>
      </c>
      <c r="C11" s="29" t="s">
        <v>41</v>
      </c>
      <c r="D11" s="29"/>
      <c r="E11" s="29"/>
      <c r="F11" s="5">
        <v>1</v>
      </c>
      <c r="G11" s="12">
        <v>6503</v>
      </c>
      <c r="H11" s="4" t="s">
        <v>30</v>
      </c>
      <c r="I11" s="13">
        <v>12</v>
      </c>
      <c r="J11" s="6">
        <f t="shared" ref="J11:J16" si="0">F11*I11*G11</f>
        <v>78036</v>
      </c>
    </row>
    <row r="12" spans="1:13" ht="33.9" customHeight="1" x14ac:dyDescent="0.3">
      <c r="A12" s="1" t="s">
        <v>38</v>
      </c>
      <c r="B12" s="4">
        <v>2</v>
      </c>
      <c r="C12" s="29" t="s">
        <v>42</v>
      </c>
      <c r="D12" s="29"/>
      <c r="E12" s="29"/>
      <c r="F12" s="5">
        <v>1</v>
      </c>
      <c r="G12" s="12">
        <v>177</v>
      </c>
      <c r="H12" s="4" t="s">
        <v>30</v>
      </c>
      <c r="I12" s="13">
        <v>6</v>
      </c>
      <c r="J12" s="6">
        <f t="shared" si="0"/>
        <v>1062</v>
      </c>
    </row>
    <row r="13" spans="1:13" ht="33.9" customHeight="1" x14ac:dyDescent="0.3">
      <c r="B13" s="4">
        <v>3</v>
      </c>
      <c r="C13" s="29" t="s">
        <v>43</v>
      </c>
      <c r="D13" s="29"/>
      <c r="E13" s="29"/>
      <c r="F13" s="5">
        <v>1</v>
      </c>
      <c r="G13" s="12">
        <v>10541</v>
      </c>
      <c r="H13" s="4" t="s">
        <v>30</v>
      </c>
      <c r="I13" s="13">
        <v>12</v>
      </c>
      <c r="J13" s="6">
        <f t="shared" si="0"/>
        <v>126492</v>
      </c>
      <c r="M13" s="11">
        <f>'1'!J12+'2'!J13+'3'!J14+'4'!J17</f>
        <v>634143</v>
      </c>
    </row>
    <row r="14" spans="1:13" ht="33.9" customHeight="1" x14ac:dyDescent="0.3">
      <c r="A14" s="1" t="s">
        <v>38</v>
      </c>
      <c r="B14" s="4">
        <v>4</v>
      </c>
      <c r="C14" s="29" t="s">
        <v>44</v>
      </c>
      <c r="D14" s="29"/>
      <c r="E14" s="29"/>
      <c r="F14" s="5">
        <v>1</v>
      </c>
      <c r="G14" s="12">
        <v>1263</v>
      </c>
      <c r="H14" s="4" t="s">
        <v>30</v>
      </c>
      <c r="I14" s="13">
        <v>6</v>
      </c>
      <c r="J14" s="6">
        <f t="shared" si="0"/>
        <v>7578</v>
      </c>
    </row>
    <row r="15" spans="1:13" ht="33.9" customHeight="1" x14ac:dyDescent="0.3">
      <c r="B15" s="4">
        <v>5</v>
      </c>
      <c r="C15" s="29" t="s">
        <v>45</v>
      </c>
      <c r="D15" s="29"/>
      <c r="E15" s="29"/>
      <c r="F15" s="5">
        <v>1</v>
      </c>
      <c r="G15" s="12">
        <v>5839</v>
      </c>
      <c r="H15" s="4" t="s">
        <v>30</v>
      </c>
      <c r="I15" s="13">
        <v>12</v>
      </c>
      <c r="J15" s="6">
        <f t="shared" si="0"/>
        <v>70068</v>
      </c>
    </row>
    <row r="16" spans="1:13" ht="33.9" customHeight="1" x14ac:dyDescent="0.3">
      <c r="A16" s="1" t="s">
        <v>38</v>
      </c>
      <c r="B16" s="4">
        <v>6</v>
      </c>
      <c r="C16" s="29" t="s">
        <v>46</v>
      </c>
      <c r="D16" s="29"/>
      <c r="E16" s="29"/>
      <c r="F16" s="5">
        <v>1</v>
      </c>
      <c r="G16" s="12">
        <v>1331</v>
      </c>
      <c r="H16" s="4" t="s">
        <v>30</v>
      </c>
      <c r="I16" s="13">
        <v>6</v>
      </c>
      <c r="J16" s="6">
        <f t="shared" si="0"/>
        <v>7986</v>
      </c>
    </row>
    <row r="17" spans="2:12" ht="17.399999999999999" customHeight="1" x14ac:dyDescent="0.35">
      <c r="B17" s="17"/>
      <c r="C17" s="30" t="s">
        <v>18</v>
      </c>
      <c r="D17" s="30"/>
      <c r="E17" s="30"/>
      <c r="F17" s="30"/>
      <c r="G17" s="30"/>
      <c r="H17" s="30"/>
      <c r="I17" s="30"/>
      <c r="J17" s="7">
        <f>SUM(J11:J16)</f>
        <v>291222</v>
      </c>
    </row>
    <row r="18" spans="2:12" ht="17.399999999999999" customHeight="1" x14ac:dyDescent="0.35">
      <c r="B18" s="17"/>
      <c r="C18" s="31" t="s">
        <v>23</v>
      </c>
      <c r="D18" s="31"/>
      <c r="E18" s="31"/>
      <c r="F18" s="31"/>
      <c r="G18" s="31"/>
      <c r="H18" s="31"/>
      <c r="I18" s="31"/>
      <c r="J18" s="7">
        <v>0</v>
      </c>
    </row>
    <row r="19" spans="2:12" ht="17.399999999999999" customHeight="1" x14ac:dyDescent="0.35">
      <c r="B19" s="17"/>
      <c r="C19" s="31"/>
      <c r="D19" s="31"/>
      <c r="E19" s="31"/>
      <c r="F19" s="31"/>
      <c r="G19" s="31"/>
      <c r="H19" s="31"/>
      <c r="I19" s="31"/>
      <c r="J19" s="7"/>
    </row>
    <row r="20" spans="2:12" ht="17.399999999999999" customHeight="1" x14ac:dyDescent="0.35">
      <c r="B20" s="17"/>
      <c r="C20" s="14"/>
      <c r="D20" s="14"/>
      <c r="E20" s="14"/>
      <c r="F20" s="14"/>
      <c r="G20" s="14"/>
      <c r="H20" s="14"/>
      <c r="I20" s="14"/>
      <c r="J20" s="7">
        <f>J17+J18+J19</f>
        <v>291222</v>
      </c>
    </row>
    <row r="21" spans="2:12" ht="15.5" x14ac:dyDescent="0.35">
      <c r="B21" s="8"/>
      <c r="C21" s="33" t="s">
        <v>47</v>
      </c>
      <c r="D21" s="33"/>
      <c r="E21" s="33"/>
      <c r="F21" s="33"/>
      <c r="G21" s="33"/>
      <c r="H21" s="33"/>
      <c r="I21" s="33"/>
      <c r="J21" s="33"/>
    </row>
    <row r="22" spans="2:12" ht="15.5" x14ac:dyDescent="0.35">
      <c r="B22" s="17"/>
      <c r="C22" s="23" t="s">
        <v>12</v>
      </c>
      <c r="D22" s="23"/>
      <c r="E22" s="23"/>
      <c r="F22" s="8"/>
      <c r="G22" s="8"/>
      <c r="H22" s="8"/>
      <c r="I22" s="8"/>
      <c r="J22" s="9">
        <v>0</v>
      </c>
    </row>
    <row r="23" spans="2:12" ht="15.5" x14ac:dyDescent="0.35">
      <c r="B23" s="17"/>
      <c r="C23" s="23" t="s">
        <v>20</v>
      </c>
      <c r="D23" s="23"/>
      <c r="E23" s="23"/>
      <c r="F23" s="8"/>
      <c r="G23" s="8"/>
      <c r="H23" s="8"/>
      <c r="I23" s="8"/>
      <c r="J23" s="9">
        <v>0</v>
      </c>
    </row>
    <row r="24" spans="2:12" ht="15.5" x14ac:dyDescent="0.35">
      <c r="B24" s="17"/>
      <c r="C24" s="23" t="s">
        <v>13</v>
      </c>
      <c r="D24" s="23"/>
      <c r="E24" s="23"/>
      <c r="F24" s="8"/>
      <c r="G24" s="8" t="s">
        <v>19</v>
      </c>
      <c r="H24" s="8"/>
      <c r="I24" s="8"/>
      <c r="J24" s="18">
        <f>J20</f>
        <v>291222</v>
      </c>
    </row>
    <row r="25" spans="2:12" ht="15.5" x14ac:dyDescent="0.35">
      <c r="B25" s="8"/>
      <c r="C25" s="23"/>
      <c r="D25" s="23"/>
      <c r="E25" s="23"/>
      <c r="F25" s="8"/>
      <c r="G25" s="8"/>
      <c r="H25" s="8"/>
      <c r="I25" s="8"/>
      <c r="J25" s="8"/>
      <c r="L25" s="11"/>
    </row>
    <row r="26" spans="2:12" x14ac:dyDescent="0.3">
      <c r="B26" s="20" t="s">
        <v>14</v>
      </c>
      <c r="C26" s="20"/>
      <c r="D26" s="20"/>
      <c r="E26" s="20"/>
      <c r="F26" s="20"/>
      <c r="G26" s="20"/>
      <c r="H26" s="20"/>
      <c r="I26" s="20"/>
      <c r="J26" s="20"/>
    </row>
    <row r="27" spans="2:12" x14ac:dyDescent="0.3">
      <c r="B27" s="20"/>
      <c r="C27" s="20"/>
      <c r="D27" s="20"/>
      <c r="E27" s="20"/>
      <c r="F27" s="20"/>
      <c r="G27" s="20"/>
      <c r="H27" s="20"/>
      <c r="I27" s="20"/>
      <c r="J27" s="20"/>
    </row>
    <row r="28" spans="2:12" x14ac:dyDescent="0.3">
      <c r="B28" s="20"/>
      <c r="C28" s="20"/>
      <c r="D28" s="20"/>
      <c r="E28" s="20"/>
      <c r="F28" s="20"/>
      <c r="G28" s="20"/>
      <c r="H28" s="20"/>
      <c r="I28" s="20"/>
      <c r="J28" s="20"/>
    </row>
    <row r="31" spans="2:12" ht="14.15" customHeight="1" x14ac:dyDescent="0.3">
      <c r="B31" s="19" t="s">
        <v>15</v>
      </c>
      <c r="C31" s="19"/>
      <c r="D31" s="19"/>
      <c r="E31" s="19"/>
      <c r="F31" s="19"/>
      <c r="G31" s="19"/>
      <c r="H31" s="19"/>
      <c r="I31" s="19"/>
      <c r="J31" s="19"/>
    </row>
    <row r="32" spans="2:12" ht="14.15" customHeight="1" x14ac:dyDescent="0.3">
      <c r="B32" s="19"/>
      <c r="C32" s="19"/>
      <c r="D32" s="19"/>
      <c r="E32" s="19"/>
      <c r="F32" s="19"/>
      <c r="G32" s="19"/>
      <c r="H32" s="19"/>
      <c r="I32" s="19"/>
      <c r="J32" s="19"/>
    </row>
    <row r="33" spans="2:10" x14ac:dyDescent="0.3">
      <c r="B33" s="19"/>
      <c r="C33" s="19"/>
      <c r="D33" s="19"/>
      <c r="E33" s="19"/>
      <c r="F33" s="19"/>
      <c r="G33" s="19"/>
      <c r="H33" s="19"/>
      <c r="I33" s="19"/>
      <c r="J33" s="19"/>
    </row>
    <row r="34" spans="2:10" x14ac:dyDescent="0.3">
      <c r="B34" s="19"/>
      <c r="C34" s="19"/>
      <c r="D34" s="19"/>
      <c r="E34" s="19"/>
      <c r="F34" s="19"/>
      <c r="G34" s="19"/>
      <c r="H34" s="19"/>
      <c r="I34" s="19"/>
      <c r="J34" s="19"/>
    </row>
    <row r="35" spans="2:10" ht="15" x14ac:dyDescent="0.3">
      <c r="B35" s="22" t="s">
        <v>35</v>
      </c>
      <c r="C35" s="22"/>
      <c r="D35" s="22"/>
      <c r="E35" s="22"/>
      <c r="F35" s="22"/>
      <c r="G35" s="22"/>
      <c r="H35" s="22"/>
      <c r="I35" s="22"/>
      <c r="J35" s="22"/>
    </row>
    <row r="36" spans="2:10" ht="15.5" x14ac:dyDescent="0.35">
      <c r="B36" s="8"/>
      <c r="C36" s="8"/>
      <c r="D36" s="8"/>
      <c r="E36" s="8"/>
      <c r="F36" s="8"/>
      <c r="G36" s="8"/>
      <c r="H36" s="8"/>
      <c r="I36" s="8"/>
      <c r="J36" s="8"/>
    </row>
  </sheetData>
  <mergeCells count="33">
    <mergeCell ref="B35:J35"/>
    <mergeCell ref="C18:I18"/>
    <mergeCell ref="C25:E25"/>
    <mergeCell ref="B26:J28"/>
    <mergeCell ref="B31:J32"/>
    <mergeCell ref="B33:J34"/>
    <mergeCell ref="C19:I19"/>
    <mergeCell ref="C21:J21"/>
    <mergeCell ref="C22:E22"/>
    <mergeCell ref="C23:E23"/>
    <mergeCell ref="C24:E24"/>
    <mergeCell ref="B9:J9"/>
    <mergeCell ref="C10:E10"/>
    <mergeCell ref="C15:E15"/>
    <mergeCell ref="C16:E16"/>
    <mergeCell ref="C17:I17"/>
    <mergeCell ref="C11:E11"/>
    <mergeCell ref="C12:E12"/>
    <mergeCell ref="C13:E13"/>
    <mergeCell ref="C14:E14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2024-12-28T12:30:13Z</cp:lastPrinted>
  <dcterms:created xsi:type="dcterms:W3CDTF">2017-06-28T08:31:23Z</dcterms:created>
  <dcterms:modified xsi:type="dcterms:W3CDTF">2025-06-19T13:17:25Z</dcterms:modified>
</cp:coreProperties>
</file>