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3B77F1E9-8588-4FA7-AF71-AB8CCEEB802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1" sheetId="22" r:id="rId1"/>
    <sheet name="2" sheetId="23" r:id="rId2"/>
    <sheet name="3" sheetId="2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24" l="1"/>
  <c r="J13" i="24"/>
  <c r="J12" i="24"/>
  <c r="J11" i="24"/>
  <c r="J15" i="23"/>
  <c r="J16" i="23"/>
  <c r="J14" i="23"/>
  <c r="J13" i="23"/>
  <c r="J12" i="23"/>
  <c r="J11" i="23"/>
  <c r="J15" i="24" l="1"/>
  <c r="J18" i="24" s="1"/>
  <c r="J22" i="24" s="1"/>
  <c r="J17" i="23"/>
  <c r="J20" i="23" s="1"/>
  <c r="J24" i="23" s="1"/>
  <c r="J14" i="22"/>
  <c r="J13" i="22"/>
  <c r="J11" i="22"/>
  <c r="J16" i="22" s="1"/>
  <c r="J12" i="22"/>
  <c r="J15" i="22" l="1"/>
  <c r="J19" i="22" l="1"/>
  <c r="J23" i="22" s="1"/>
</calcChain>
</file>

<file path=xl/sharedStrings.xml><?xml version="1.0" encoding="utf-8"?>
<sst xmlns="http://schemas.openxmlformats.org/spreadsheetml/2006/main" count="120" uniqueCount="50">
  <si>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</si>
  <si>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</si>
  <si>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</si>
  <si>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</si>
  <si>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</si>
  <si>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</si>
  <si>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</si>
  <si>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</si>
  <si>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</si>
  <si>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</si>
  <si>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</si>
  <si>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</si>
  <si>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</si>
  <si>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</si>
  <si>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</si>
  <si>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</si>
  <si>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</si>
  <si>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</si>
  <si>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</si>
  <si>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</si>
  <si>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</si>
  <si>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</si>
  <si>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</si>
  <si>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GST @ 18%</t>
  </si>
  <si>
    <t>Krishna Furniture Molding</t>
  </si>
  <si>
    <t>Bhavarlal</t>
  </si>
  <si>
    <t>Door Fitting work</t>
  </si>
  <si>
    <t>Nos.</t>
  </si>
  <si>
    <t>Sq.ft.</t>
  </si>
  <si>
    <t>To, 
Tanvi Infracon - Pramukh Revanta</t>
  </si>
  <si>
    <t>Door Fitting work (D-Building 110 to 1309)</t>
  </si>
  <si>
    <t>Door Fitting work (E-Building 111 to 1312 )</t>
  </si>
  <si>
    <t>Door Fitting work (C-Building 107 to 1308)</t>
  </si>
  <si>
    <t xml:space="preserve">Lift Store Door Fitting and 1011 to 1211 </t>
  </si>
  <si>
    <t>Lift Store window ply fitting work</t>
  </si>
  <si>
    <t>Three Lakh Ninty Nine Thousand Nine Hundred Seventy Five Only</t>
  </si>
  <si>
    <t>Door Fitting work &amp; Other Panneling work</t>
  </si>
  <si>
    <t>Terrace Floor Cement sheet Chajja work</t>
  </si>
  <si>
    <t>Ground floor Duct packing work in ceiling with cement sheet</t>
  </si>
  <si>
    <t>C- Building door fitting work</t>
  </si>
  <si>
    <t>For Railing fitting in top 3 Floors Aluminium Piece fitting work</t>
  </si>
  <si>
    <t xml:space="preserve">B, D and E Panneling </t>
  </si>
  <si>
    <t xml:space="preserve">Round Farma for Masonary </t>
  </si>
  <si>
    <t>Two Lakh Fifty Four Thousand Two Hundred Fifty Only</t>
  </si>
  <si>
    <t>D, E, C and B Building foyer, Outside foyer Panneling work and ACP sheet work</t>
  </si>
  <si>
    <t xml:space="preserve">Cement Sheet patta in façade </t>
  </si>
  <si>
    <t>Lumsum</t>
  </si>
  <si>
    <t xml:space="preserve">Table </t>
  </si>
  <si>
    <t>B- Building Door (Flat no.- 103,104,204,303 to 404, 603 to 804, 903, 904 to 1304) (22 Nos. X 9 Door)</t>
  </si>
  <si>
    <t>Six Lakh Ninty Two Thousand Two Hundred Ninty Nine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</si>
</sst>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164" fontId="5" fillId="0" borderId="0" xfId="0" applyNumberFormat="1" applyFo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3" fontId="2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5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35"/>
  <sheetViews>
    <sheetView topLeftCell="A8" zoomScaleNormal="100" workbookViewId="0">
      <selection activeCell="G13" sqref="G1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36328125" style="1" bestFit="1" customWidth="1"/>
    <col min="13" max="13" width="9.90625" style="1" bestFit="1" customWidth="1"/>
    <col min="14" max="16384" width="8.6328125" style="1"/>
  </cols>
  <sheetData>
    <row r="2" spans="2:13" ht="17.5" x14ac:dyDescent="0.35">
      <c r="B2" s="32" t="s">
        <v>0</v>
      </c>
      <c r="C2" s="32"/>
      <c r="D2" s="32"/>
      <c r="E2" s="32"/>
      <c r="F2" s="32"/>
      <c r="G2" s="32"/>
      <c r="H2" s="32"/>
      <c r="I2" s="32"/>
      <c r="J2" s="32"/>
    </row>
    <row r="3" spans="2:13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3" ht="15.65" customHeight="1" x14ac:dyDescent="0.35">
      <c r="B4" s="33" t="s">
        <v>16</v>
      </c>
      <c r="C4" s="33"/>
      <c r="D4" s="20" t="s">
        <v>24</v>
      </c>
      <c r="E4" s="20"/>
      <c r="F4" s="20"/>
      <c r="G4" s="20"/>
      <c r="H4" s="34" t="s">
        <v>22</v>
      </c>
      <c r="I4" s="34"/>
      <c r="J4" s="8">
        <v>54</v>
      </c>
    </row>
    <row r="5" spans="2:13" ht="18.899999999999999" customHeight="1" x14ac:dyDescent="0.3">
      <c r="B5" s="22" t="s">
        <v>1</v>
      </c>
      <c r="C5" s="22"/>
      <c r="D5" s="21" t="s">
        <v>25</v>
      </c>
      <c r="E5" s="21"/>
      <c r="F5" s="21"/>
      <c r="G5" s="21"/>
      <c r="H5" s="21"/>
      <c r="I5" s="21"/>
      <c r="J5" s="21"/>
    </row>
    <row r="6" spans="2:13" ht="30.9" customHeight="1" x14ac:dyDescent="0.35">
      <c r="B6" s="26" t="s">
        <v>29</v>
      </c>
      <c r="C6" s="26"/>
      <c r="D6" s="26"/>
      <c r="E6" s="26"/>
      <c r="F6" s="26"/>
      <c r="G6" s="26"/>
      <c r="H6" s="10" t="s">
        <v>2</v>
      </c>
      <c r="I6" s="27">
        <v>45566</v>
      </c>
      <c r="J6" s="28"/>
    </row>
    <row r="7" spans="2:13" ht="20.149999999999999" customHeight="1" x14ac:dyDescent="0.3">
      <c r="B7" s="29" t="s">
        <v>3</v>
      </c>
      <c r="C7" s="29"/>
      <c r="D7" s="30" t="s">
        <v>26</v>
      </c>
      <c r="E7" s="30"/>
      <c r="F7" s="30"/>
      <c r="G7" s="30"/>
      <c r="H7" s="3" t="s">
        <v>17</v>
      </c>
      <c r="I7" s="27">
        <v>45565</v>
      </c>
      <c r="J7" s="28"/>
    </row>
    <row r="8" spans="2:13" ht="18.899999999999999" customHeight="1" x14ac:dyDescent="0.3">
      <c r="B8" s="22" t="s">
        <v>5</v>
      </c>
      <c r="C8" s="22"/>
      <c r="D8" s="21" t="s">
        <v>26</v>
      </c>
      <c r="E8" s="21"/>
      <c r="F8" s="21"/>
      <c r="G8" s="21"/>
      <c r="H8" s="21"/>
      <c r="I8" s="21"/>
      <c r="J8" s="21"/>
    </row>
    <row r="9" spans="2:13" ht="20.399999999999999" customHeight="1" x14ac:dyDescent="0.3">
      <c r="B9" s="22" t="s">
        <v>4</v>
      </c>
      <c r="C9" s="22"/>
      <c r="D9" s="22"/>
      <c r="E9" s="22"/>
      <c r="F9" s="22"/>
      <c r="G9" s="22"/>
      <c r="H9" s="22"/>
      <c r="I9" s="22"/>
      <c r="J9" s="22"/>
    </row>
    <row r="10" spans="2:13" ht="30" x14ac:dyDescent="0.3">
      <c r="B10" s="2" t="s">
        <v>11</v>
      </c>
      <c r="C10" s="31" t="s">
        <v>6</v>
      </c>
      <c r="D10" s="31"/>
      <c r="E10" s="31"/>
      <c r="F10" s="3" t="s">
        <v>7</v>
      </c>
      <c r="G10" s="15" t="s">
        <v>8</v>
      </c>
      <c r="H10" s="15" t="s">
        <v>9</v>
      </c>
      <c r="I10" s="2" t="s">
        <v>21</v>
      </c>
      <c r="J10" s="16" t="s">
        <v>10</v>
      </c>
    </row>
    <row r="11" spans="2:13" ht="33.9" customHeight="1" x14ac:dyDescent="0.3">
      <c r="B11" s="4">
        <v>1</v>
      </c>
      <c r="C11" s="30" t="s">
        <v>30</v>
      </c>
      <c r="D11" s="30"/>
      <c r="E11" s="30"/>
      <c r="F11" s="5">
        <v>1</v>
      </c>
      <c r="G11" s="13">
        <v>231</v>
      </c>
      <c r="H11" s="4" t="s">
        <v>27</v>
      </c>
      <c r="I11" s="14">
        <v>665</v>
      </c>
      <c r="J11" s="6">
        <f>F11*I11*G11</f>
        <v>153615</v>
      </c>
      <c r="M11" s="19"/>
    </row>
    <row r="12" spans="2:13" ht="33.9" customHeight="1" x14ac:dyDescent="0.3">
      <c r="B12" s="4">
        <v>2</v>
      </c>
      <c r="C12" s="30" t="s">
        <v>31</v>
      </c>
      <c r="D12" s="30"/>
      <c r="E12" s="30"/>
      <c r="F12" s="5">
        <v>1</v>
      </c>
      <c r="G12" s="13">
        <v>174</v>
      </c>
      <c r="H12" s="4" t="s">
        <v>27</v>
      </c>
      <c r="I12" s="14">
        <v>665</v>
      </c>
      <c r="J12" s="6">
        <f>F12*I12*G12</f>
        <v>115710</v>
      </c>
      <c r="M12" s="19"/>
    </row>
    <row r="13" spans="2:13" ht="33.9" customHeight="1" x14ac:dyDescent="0.3">
      <c r="B13" s="4">
        <v>3</v>
      </c>
      <c r="C13" s="30" t="s">
        <v>32</v>
      </c>
      <c r="D13" s="30"/>
      <c r="E13" s="30"/>
      <c r="F13" s="5">
        <v>1</v>
      </c>
      <c r="G13" s="13">
        <v>180</v>
      </c>
      <c r="H13" s="4" t="s">
        <v>27</v>
      </c>
      <c r="I13" s="14">
        <v>665</v>
      </c>
      <c r="J13" s="6">
        <f>F13*I13*G13</f>
        <v>119700</v>
      </c>
      <c r="M13" s="19"/>
    </row>
    <row r="14" spans="2:13" ht="33.9" customHeight="1" x14ac:dyDescent="0.3">
      <c r="B14" s="4">
        <v>4</v>
      </c>
      <c r="C14" s="30" t="s">
        <v>33</v>
      </c>
      <c r="D14" s="30"/>
      <c r="E14" s="30"/>
      <c r="F14" s="5">
        <v>1</v>
      </c>
      <c r="G14" s="13">
        <v>5</v>
      </c>
      <c r="H14" s="4" t="s">
        <v>27</v>
      </c>
      <c r="I14" s="14">
        <v>590</v>
      </c>
      <c r="J14" s="6">
        <f>F14*I14*G14</f>
        <v>2950</v>
      </c>
    </row>
    <row r="15" spans="2:13" ht="33.9" customHeight="1" x14ac:dyDescent="0.3">
      <c r="B15" s="4">
        <v>5</v>
      </c>
      <c r="C15" s="30" t="s">
        <v>34</v>
      </c>
      <c r="D15" s="30"/>
      <c r="E15" s="30"/>
      <c r="F15" s="5">
        <v>1</v>
      </c>
      <c r="G15" s="13">
        <v>800</v>
      </c>
      <c r="H15" s="4" t="s">
        <v>28</v>
      </c>
      <c r="I15" s="14">
        <v>10</v>
      </c>
      <c r="J15" s="6">
        <f>F15*I15*G15</f>
        <v>8000</v>
      </c>
    </row>
    <row r="16" spans="2:13" ht="17.399999999999999" customHeight="1" x14ac:dyDescent="0.35">
      <c r="B16" s="18"/>
      <c r="C16" s="25" t="s">
        <v>18</v>
      </c>
      <c r="D16" s="25"/>
      <c r="E16" s="25"/>
      <c r="F16" s="25"/>
      <c r="G16" s="25"/>
      <c r="H16" s="25"/>
      <c r="I16" s="25"/>
      <c r="J16" s="7">
        <f>SUM(J11:J15)</f>
        <v>399975</v>
      </c>
    </row>
    <row r="17" spans="2:12" ht="17.399999999999999" customHeight="1" x14ac:dyDescent="0.35">
      <c r="B17" s="18"/>
      <c r="C17" s="23" t="s">
        <v>23</v>
      </c>
      <c r="D17" s="23"/>
      <c r="E17" s="23"/>
      <c r="F17" s="23"/>
      <c r="G17" s="23"/>
      <c r="H17" s="23"/>
      <c r="I17" s="23"/>
      <c r="J17" s="7">
        <v>0</v>
      </c>
    </row>
    <row r="18" spans="2:12" ht="17.399999999999999" customHeight="1" x14ac:dyDescent="0.35">
      <c r="B18" s="18"/>
      <c r="C18" s="23"/>
      <c r="D18" s="23"/>
      <c r="E18" s="23"/>
      <c r="F18" s="23"/>
      <c r="G18" s="23"/>
      <c r="H18" s="23"/>
      <c r="I18" s="23"/>
      <c r="J18" s="7"/>
      <c r="L18" s="19"/>
    </row>
    <row r="19" spans="2:12" ht="17.399999999999999" customHeight="1" x14ac:dyDescent="0.35">
      <c r="B19" s="18"/>
      <c r="C19" s="16"/>
      <c r="D19" s="16"/>
      <c r="E19" s="16"/>
      <c r="F19" s="16"/>
      <c r="G19" s="16"/>
      <c r="H19" s="16"/>
      <c r="I19" s="16"/>
      <c r="J19" s="7">
        <f>J16+J17+J18</f>
        <v>399975</v>
      </c>
    </row>
    <row r="20" spans="2:12" ht="15.5" x14ac:dyDescent="0.35">
      <c r="B20" s="8"/>
      <c r="C20" s="24" t="s">
        <v>35</v>
      </c>
      <c r="D20" s="24"/>
      <c r="E20" s="24"/>
      <c r="F20" s="24"/>
      <c r="G20" s="24"/>
      <c r="H20" s="24"/>
      <c r="I20" s="24"/>
      <c r="J20" s="24"/>
    </row>
    <row r="21" spans="2:12" ht="15.5" x14ac:dyDescent="0.35">
      <c r="B21" s="18"/>
      <c r="C21" s="20" t="s">
        <v>12</v>
      </c>
      <c r="D21" s="20"/>
      <c r="E21" s="20"/>
      <c r="F21" s="8"/>
      <c r="G21" s="8"/>
      <c r="H21" s="8"/>
      <c r="I21" s="8"/>
      <c r="J21" s="9">
        <v>0</v>
      </c>
    </row>
    <row r="22" spans="2:12" ht="15.5" x14ac:dyDescent="0.35">
      <c r="B22" s="18"/>
      <c r="C22" s="20" t="s">
        <v>20</v>
      </c>
      <c r="D22" s="20"/>
      <c r="E22" s="20"/>
      <c r="F22" s="8"/>
      <c r="G22" s="8"/>
      <c r="H22" s="8"/>
      <c r="I22" s="8"/>
      <c r="J22" s="9">
        <v>0</v>
      </c>
    </row>
    <row r="23" spans="2:12" ht="15.5" x14ac:dyDescent="0.35">
      <c r="B23" s="18"/>
      <c r="C23" s="20" t="s">
        <v>13</v>
      </c>
      <c r="D23" s="20"/>
      <c r="E23" s="20"/>
      <c r="F23" s="8"/>
      <c r="G23" s="8" t="s">
        <v>19</v>
      </c>
      <c r="H23" s="8"/>
      <c r="I23" s="8"/>
      <c r="J23" s="12">
        <f>J19</f>
        <v>399975</v>
      </c>
    </row>
    <row r="24" spans="2:12" ht="15.5" x14ac:dyDescent="0.35">
      <c r="B24" s="8"/>
      <c r="C24" s="20"/>
      <c r="D24" s="20"/>
      <c r="E24" s="20"/>
      <c r="F24" s="8"/>
      <c r="G24" s="8"/>
      <c r="H24" s="8"/>
      <c r="I24" s="8"/>
      <c r="J24" s="8"/>
      <c r="L24" s="11"/>
    </row>
    <row r="25" spans="2:12" x14ac:dyDescent="0.3">
      <c r="B25" s="21" t="s">
        <v>14</v>
      </c>
      <c r="C25" s="21"/>
      <c r="D25" s="21"/>
      <c r="E25" s="21"/>
      <c r="F25" s="21"/>
      <c r="G25" s="21"/>
      <c r="H25" s="21"/>
      <c r="I25" s="21"/>
      <c r="J25" s="21"/>
    </row>
    <row r="26" spans="2:12" x14ac:dyDescent="0.3">
      <c r="B26" s="21"/>
      <c r="C26" s="21"/>
      <c r="D26" s="21"/>
      <c r="E26" s="21"/>
      <c r="F26" s="21"/>
      <c r="G26" s="21"/>
      <c r="H26" s="21"/>
      <c r="I26" s="21"/>
      <c r="J26" s="21"/>
    </row>
    <row r="27" spans="2:12" x14ac:dyDescent="0.3">
      <c r="B27" s="21"/>
      <c r="C27" s="21"/>
      <c r="D27" s="21"/>
      <c r="E27" s="21"/>
      <c r="F27" s="21"/>
      <c r="G27" s="21"/>
      <c r="H27" s="21"/>
      <c r="I27" s="21"/>
      <c r="J27" s="21"/>
    </row>
    <row r="30" spans="2:12" ht="14.15" customHeight="1" x14ac:dyDescent="0.3">
      <c r="B30" s="22" t="s">
        <v>15</v>
      </c>
      <c r="C30" s="22"/>
      <c r="D30" s="22"/>
      <c r="E30" s="22"/>
      <c r="F30" s="22"/>
      <c r="G30" s="22"/>
      <c r="H30" s="22"/>
      <c r="I30" s="22"/>
      <c r="J30" s="22"/>
    </row>
    <row r="31" spans="2:12" ht="14.15" customHeight="1" x14ac:dyDescent="0.3">
      <c r="B31" s="22"/>
      <c r="C31" s="22"/>
      <c r="D31" s="22"/>
      <c r="E31" s="22"/>
      <c r="F31" s="22"/>
      <c r="G31" s="22"/>
      <c r="H31" s="22"/>
      <c r="I31" s="22"/>
      <c r="J31" s="22"/>
    </row>
    <row r="32" spans="2:12" x14ac:dyDescent="0.3">
      <c r="B32" s="22"/>
      <c r="C32" s="22"/>
      <c r="D32" s="22"/>
      <c r="E32" s="22"/>
      <c r="F32" s="22"/>
      <c r="G32" s="22"/>
      <c r="H32" s="22"/>
      <c r="I32" s="22"/>
      <c r="J32" s="22"/>
    </row>
    <row r="33" spans="2:10" x14ac:dyDescent="0.3">
      <c r="B33" s="22"/>
      <c r="C33" s="22"/>
      <c r="D33" s="22"/>
      <c r="E33" s="22"/>
      <c r="F33" s="22"/>
      <c r="G33" s="22"/>
      <c r="H33" s="22"/>
      <c r="I33" s="22"/>
      <c r="J33" s="22"/>
    </row>
    <row r="34" spans="2:10" ht="15.5" x14ac:dyDescent="0.35">
      <c r="B34" s="8"/>
      <c r="C34" s="8"/>
      <c r="D34" s="8"/>
      <c r="E34" s="8"/>
      <c r="F34" s="8"/>
      <c r="G34" s="8"/>
      <c r="H34" s="8"/>
      <c r="I34" s="8"/>
      <c r="J34" s="8"/>
    </row>
    <row r="35" spans="2:10" ht="15.5" x14ac:dyDescent="0.35">
      <c r="B35" s="8"/>
      <c r="C35" s="8"/>
      <c r="D35" s="8"/>
      <c r="E35" s="8"/>
      <c r="F35" s="8"/>
      <c r="G35" s="8"/>
      <c r="H35" s="8"/>
      <c r="I35" s="8"/>
      <c r="J35" s="8"/>
    </row>
  </sheetData>
  <mergeCells count="31">
    <mergeCell ref="B2:J2"/>
    <mergeCell ref="B4:C4"/>
    <mergeCell ref="D4:G4"/>
    <mergeCell ref="H4:I4"/>
    <mergeCell ref="B5:C5"/>
    <mergeCell ref="D5:J5"/>
    <mergeCell ref="C16:I16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5:E15"/>
    <mergeCell ref="C11:E11"/>
    <mergeCell ref="C12:E12"/>
    <mergeCell ref="C13:E13"/>
    <mergeCell ref="C14:E14"/>
    <mergeCell ref="C24:E24"/>
    <mergeCell ref="B25:J27"/>
    <mergeCell ref="B30:J31"/>
    <mergeCell ref="B32:J33"/>
    <mergeCell ref="C17:I17"/>
    <mergeCell ref="C18:I18"/>
    <mergeCell ref="C20:J20"/>
    <mergeCell ref="C21:E21"/>
    <mergeCell ref="C22:E22"/>
    <mergeCell ref="C23:E23"/>
  </mergeCells>
  <pageMargins left="0.7" right="0.7" top="0.75" bottom="0.75" header="0.3" footer="0.3"/>
  <pageSetup paperSize="9" scale="7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5E5F-1A28-42DA-ADC1-7FC5EF27A17E}">
  <sheetPr>
    <pageSetUpPr fitToPage="1"/>
  </sheetPr>
  <dimension ref="B2:M36"/>
  <sheetViews>
    <sheetView topLeftCell="A11" zoomScaleNormal="100" workbookViewId="0">
      <selection activeCell="B2" sqref="B2:J34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36328125" style="1" bestFit="1" customWidth="1"/>
    <col min="13" max="13" width="9.90625" style="1" bestFit="1" customWidth="1"/>
    <col min="14" max="16384" width="8.6328125" style="1"/>
  </cols>
  <sheetData>
    <row r="2" spans="2:13" ht="17.5" x14ac:dyDescent="0.35">
      <c r="B2" s="32" t="s">
        <v>0</v>
      </c>
      <c r="C2" s="32"/>
      <c r="D2" s="32"/>
      <c r="E2" s="32"/>
      <c r="F2" s="32"/>
      <c r="G2" s="32"/>
      <c r="H2" s="32"/>
      <c r="I2" s="32"/>
      <c r="J2" s="32"/>
    </row>
    <row r="3" spans="2:13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3" ht="15.65" customHeight="1" x14ac:dyDescent="0.35">
      <c r="B4" s="33" t="s">
        <v>16</v>
      </c>
      <c r="C4" s="33"/>
      <c r="D4" s="20" t="s">
        <v>24</v>
      </c>
      <c r="E4" s="20"/>
      <c r="F4" s="20"/>
      <c r="G4" s="20"/>
      <c r="H4" s="34" t="s">
        <v>22</v>
      </c>
      <c r="I4" s="34"/>
      <c r="J4" s="8">
        <v>56</v>
      </c>
    </row>
    <row r="5" spans="2:13" ht="18.899999999999999" customHeight="1" x14ac:dyDescent="0.3">
      <c r="B5" s="22" t="s">
        <v>1</v>
      </c>
      <c r="C5" s="22"/>
      <c r="D5" s="21" t="s">
        <v>25</v>
      </c>
      <c r="E5" s="21"/>
      <c r="F5" s="21"/>
      <c r="G5" s="21"/>
      <c r="H5" s="21"/>
      <c r="I5" s="21"/>
      <c r="J5" s="21"/>
    </row>
    <row r="6" spans="2:13" ht="30.9" customHeight="1" x14ac:dyDescent="0.35">
      <c r="B6" s="26" t="s">
        <v>29</v>
      </c>
      <c r="C6" s="26"/>
      <c r="D6" s="26"/>
      <c r="E6" s="26"/>
      <c r="F6" s="26"/>
      <c r="G6" s="26"/>
      <c r="H6" s="10" t="s">
        <v>2</v>
      </c>
      <c r="I6" s="27">
        <v>45699</v>
      </c>
      <c r="J6" s="28"/>
    </row>
    <row r="7" spans="2:13" ht="20.149999999999999" customHeight="1" x14ac:dyDescent="0.3">
      <c r="B7" s="29" t="s">
        <v>3</v>
      </c>
      <c r="C7" s="29"/>
      <c r="D7" s="30" t="s">
        <v>36</v>
      </c>
      <c r="E7" s="30"/>
      <c r="F7" s="30"/>
      <c r="G7" s="30"/>
      <c r="H7" s="3" t="s">
        <v>17</v>
      </c>
      <c r="I7" s="27">
        <v>45699</v>
      </c>
      <c r="J7" s="28"/>
    </row>
    <row r="8" spans="2:13" ht="18.899999999999999" customHeight="1" x14ac:dyDescent="0.3">
      <c r="B8" s="22" t="s">
        <v>5</v>
      </c>
      <c r="C8" s="22"/>
      <c r="D8" s="21" t="s">
        <v>36</v>
      </c>
      <c r="E8" s="21"/>
      <c r="F8" s="21"/>
      <c r="G8" s="21"/>
      <c r="H8" s="21"/>
      <c r="I8" s="21"/>
      <c r="J8" s="21"/>
    </row>
    <row r="9" spans="2:13" ht="20.399999999999999" customHeight="1" x14ac:dyDescent="0.3">
      <c r="B9" s="22" t="s">
        <v>4</v>
      </c>
      <c r="C9" s="22"/>
      <c r="D9" s="22"/>
      <c r="E9" s="22"/>
      <c r="F9" s="22"/>
      <c r="G9" s="22"/>
      <c r="H9" s="22"/>
      <c r="I9" s="22"/>
      <c r="J9" s="22"/>
    </row>
    <row r="10" spans="2:13" ht="30" x14ac:dyDescent="0.3">
      <c r="B10" s="2" t="s">
        <v>11</v>
      </c>
      <c r="C10" s="31" t="s">
        <v>6</v>
      </c>
      <c r="D10" s="31"/>
      <c r="E10" s="31"/>
      <c r="F10" s="3" t="s">
        <v>7</v>
      </c>
      <c r="G10" s="15" t="s">
        <v>8</v>
      </c>
      <c r="H10" s="15" t="s">
        <v>9</v>
      </c>
      <c r="I10" s="2" t="s">
        <v>21</v>
      </c>
      <c r="J10" s="16" t="s">
        <v>10</v>
      </c>
    </row>
    <row r="11" spans="2:13" ht="33.9" customHeight="1" x14ac:dyDescent="0.3">
      <c r="B11" s="4">
        <v>1</v>
      </c>
      <c r="C11" s="30" t="s">
        <v>37</v>
      </c>
      <c r="D11" s="30"/>
      <c r="E11" s="30"/>
      <c r="F11" s="5">
        <v>1</v>
      </c>
      <c r="G11" s="13">
        <v>100</v>
      </c>
      <c r="H11" s="4" t="s">
        <v>28</v>
      </c>
      <c r="I11" s="14">
        <v>150</v>
      </c>
      <c r="J11" s="6">
        <f t="shared" ref="J11:J16" si="0">F11*I11*G11</f>
        <v>15000</v>
      </c>
      <c r="M11" s="19"/>
    </row>
    <row r="12" spans="2:13" ht="33.9" customHeight="1" x14ac:dyDescent="0.3">
      <c r="B12" s="4">
        <v>2</v>
      </c>
      <c r="C12" s="30" t="s">
        <v>38</v>
      </c>
      <c r="D12" s="30"/>
      <c r="E12" s="30"/>
      <c r="F12" s="5">
        <v>1</v>
      </c>
      <c r="G12" s="13">
        <v>60</v>
      </c>
      <c r="H12" s="4" t="s">
        <v>28</v>
      </c>
      <c r="I12" s="14">
        <v>150</v>
      </c>
      <c r="J12" s="6">
        <f t="shared" si="0"/>
        <v>9000</v>
      </c>
      <c r="M12" s="19"/>
    </row>
    <row r="13" spans="2:13" ht="33.9" customHeight="1" x14ac:dyDescent="0.3">
      <c r="B13" s="4">
        <v>3</v>
      </c>
      <c r="C13" s="30" t="s">
        <v>39</v>
      </c>
      <c r="D13" s="30"/>
      <c r="E13" s="30"/>
      <c r="F13" s="5">
        <v>1</v>
      </c>
      <c r="G13" s="13">
        <v>222</v>
      </c>
      <c r="H13" s="4" t="s">
        <v>27</v>
      </c>
      <c r="I13" s="14">
        <v>500</v>
      </c>
      <c r="J13" s="6">
        <f t="shared" si="0"/>
        <v>111000</v>
      </c>
      <c r="M13" s="19"/>
    </row>
    <row r="14" spans="2:13" ht="33.9" customHeight="1" x14ac:dyDescent="0.3">
      <c r="B14" s="4">
        <v>4</v>
      </c>
      <c r="C14" s="30" t="s">
        <v>40</v>
      </c>
      <c r="D14" s="30"/>
      <c r="E14" s="30"/>
      <c r="F14" s="5">
        <v>1</v>
      </c>
      <c r="G14" s="13">
        <v>72</v>
      </c>
      <c r="H14" s="4" t="s">
        <v>27</v>
      </c>
      <c r="I14" s="14">
        <v>83.333299999999994</v>
      </c>
      <c r="J14" s="6">
        <f t="shared" si="0"/>
        <v>5999.9975999999997</v>
      </c>
    </row>
    <row r="15" spans="2:13" ht="33.9" customHeight="1" x14ac:dyDescent="0.3">
      <c r="B15" s="4">
        <v>5</v>
      </c>
      <c r="C15" s="30" t="s">
        <v>41</v>
      </c>
      <c r="D15" s="30"/>
      <c r="E15" s="30"/>
      <c r="F15" s="5">
        <v>1</v>
      </c>
      <c r="G15" s="13">
        <v>735</v>
      </c>
      <c r="H15" s="4" t="s">
        <v>28</v>
      </c>
      <c r="I15" s="14">
        <v>150</v>
      </c>
      <c r="J15" s="6">
        <f t="shared" si="0"/>
        <v>110250</v>
      </c>
    </row>
    <row r="16" spans="2:13" ht="33.9" customHeight="1" x14ac:dyDescent="0.3">
      <c r="B16" s="4">
        <v>6</v>
      </c>
      <c r="C16" s="30" t="s">
        <v>42</v>
      </c>
      <c r="D16" s="30"/>
      <c r="E16" s="30"/>
      <c r="F16" s="5">
        <v>1</v>
      </c>
      <c r="G16" s="13">
        <v>1</v>
      </c>
      <c r="H16" s="4" t="s">
        <v>27</v>
      </c>
      <c r="I16" s="14">
        <v>3000</v>
      </c>
      <c r="J16" s="6">
        <f t="shared" si="0"/>
        <v>3000</v>
      </c>
    </row>
    <row r="17" spans="2:12" ht="17.399999999999999" customHeight="1" x14ac:dyDescent="0.35">
      <c r="B17" s="18"/>
      <c r="C17" s="25" t="s">
        <v>18</v>
      </c>
      <c r="D17" s="25"/>
      <c r="E17" s="25"/>
      <c r="F17" s="25"/>
      <c r="G17" s="25"/>
      <c r="H17" s="25"/>
      <c r="I17" s="25"/>
      <c r="J17" s="7">
        <f>SUM(J11:J16)</f>
        <v>254249.9976</v>
      </c>
    </row>
    <row r="18" spans="2:12" ht="17.399999999999999" customHeight="1" x14ac:dyDescent="0.35">
      <c r="B18" s="18"/>
      <c r="C18" s="23" t="s">
        <v>23</v>
      </c>
      <c r="D18" s="23"/>
      <c r="E18" s="23"/>
      <c r="F18" s="23"/>
      <c r="G18" s="23"/>
      <c r="H18" s="23"/>
      <c r="I18" s="23"/>
      <c r="J18" s="7">
        <v>0</v>
      </c>
    </row>
    <row r="19" spans="2:12" ht="17.399999999999999" customHeight="1" x14ac:dyDescent="0.35">
      <c r="B19" s="18"/>
      <c r="C19" s="23"/>
      <c r="D19" s="23"/>
      <c r="E19" s="23"/>
      <c r="F19" s="23"/>
      <c r="G19" s="23"/>
      <c r="H19" s="23"/>
      <c r="I19" s="23"/>
      <c r="J19" s="7"/>
      <c r="L19" s="19"/>
    </row>
    <row r="20" spans="2:12" ht="17.399999999999999" customHeight="1" x14ac:dyDescent="0.35">
      <c r="B20" s="18"/>
      <c r="C20" s="16"/>
      <c r="D20" s="16"/>
      <c r="E20" s="16"/>
      <c r="F20" s="16"/>
      <c r="G20" s="16"/>
      <c r="H20" s="16"/>
      <c r="I20" s="16"/>
      <c r="J20" s="7">
        <f>J17+J18+J19</f>
        <v>254249.9976</v>
      </c>
    </row>
    <row r="21" spans="2:12" ht="15.5" x14ac:dyDescent="0.35">
      <c r="B21" s="8"/>
      <c r="C21" s="24" t="s">
        <v>43</v>
      </c>
      <c r="D21" s="24"/>
      <c r="E21" s="24"/>
      <c r="F21" s="24"/>
      <c r="G21" s="24"/>
      <c r="H21" s="24"/>
      <c r="I21" s="24"/>
      <c r="J21" s="24"/>
    </row>
    <row r="22" spans="2:12" ht="15.5" x14ac:dyDescent="0.35">
      <c r="B22" s="18"/>
      <c r="C22" s="20" t="s">
        <v>12</v>
      </c>
      <c r="D22" s="20"/>
      <c r="E22" s="20"/>
      <c r="F22" s="8"/>
      <c r="G22" s="8"/>
      <c r="H22" s="8"/>
      <c r="I22" s="8"/>
      <c r="J22" s="9">
        <v>0</v>
      </c>
    </row>
    <row r="23" spans="2:12" ht="15.5" x14ac:dyDescent="0.35">
      <c r="B23" s="18"/>
      <c r="C23" s="20" t="s">
        <v>20</v>
      </c>
      <c r="D23" s="20"/>
      <c r="E23" s="20"/>
      <c r="F23" s="8"/>
      <c r="G23" s="8"/>
      <c r="H23" s="8"/>
      <c r="I23" s="8"/>
      <c r="J23" s="9">
        <v>0</v>
      </c>
    </row>
    <row r="24" spans="2:12" ht="15.5" x14ac:dyDescent="0.35">
      <c r="B24" s="18"/>
      <c r="C24" s="20" t="s">
        <v>13</v>
      </c>
      <c r="D24" s="20"/>
      <c r="E24" s="20"/>
      <c r="F24" s="8"/>
      <c r="G24" s="8" t="s">
        <v>19</v>
      </c>
      <c r="H24" s="8"/>
      <c r="I24" s="8"/>
      <c r="J24" s="12">
        <f>J20</f>
        <v>254249.9976</v>
      </c>
    </row>
    <row r="25" spans="2:12" ht="15.5" x14ac:dyDescent="0.35">
      <c r="B25" s="8"/>
      <c r="C25" s="20"/>
      <c r="D25" s="20"/>
      <c r="E25" s="20"/>
      <c r="F25" s="8"/>
      <c r="G25" s="8"/>
      <c r="H25" s="8"/>
      <c r="I25" s="8"/>
      <c r="J25" s="8"/>
      <c r="L25" s="11"/>
    </row>
    <row r="26" spans="2:12" x14ac:dyDescent="0.3">
      <c r="B26" s="21" t="s">
        <v>14</v>
      </c>
      <c r="C26" s="21"/>
      <c r="D26" s="21"/>
      <c r="E26" s="21"/>
      <c r="F26" s="21"/>
      <c r="G26" s="21"/>
      <c r="H26" s="21"/>
      <c r="I26" s="21"/>
      <c r="J26" s="21"/>
    </row>
    <row r="27" spans="2:12" x14ac:dyDescent="0.3">
      <c r="B27" s="21"/>
      <c r="C27" s="21"/>
      <c r="D27" s="21"/>
      <c r="E27" s="21"/>
      <c r="F27" s="21"/>
      <c r="G27" s="21"/>
      <c r="H27" s="21"/>
      <c r="I27" s="21"/>
      <c r="J27" s="21"/>
    </row>
    <row r="28" spans="2:12" x14ac:dyDescent="0.3">
      <c r="B28" s="21"/>
      <c r="C28" s="21"/>
      <c r="D28" s="21"/>
      <c r="E28" s="21"/>
      <c r="F28" s="21"/>
      <c r="G28" s="21"/>
      <c r="H28" s="21"/>
      <c r="I28" s="21"/>
      <c r="J28" s="21"/>
    </row>
    <row r="31" spans="2:12" ht="14.15" customHeight="1" x14ac:dyDescent="0.3">
      <c r="B31" s="22" t="s">
        <v>15</v>
      </c>
      <c r="C31" s="22"/>
      <c r="D31" s="22"/>
      <c r="E31" s="22"/>
      <c r="F31" s="22"/>
      <c r="G31" s="22"/>
      <c r="H31" s="22"/>
      <c r="I31" s="22"/>
      <c r="J31" s="22"/>
    </row>
    <row r="32" spans="2:12" ht="14.15" customHeight="1" x14ac:dyDescent="0.3">
      <c r="B32" s="22"/>
      <c r="C32" s="22"/>
      <c r="D32" s="22"/>
      <c r="E32" s="22"/>
      <c r="F32" s="22"/>
      <c r="G32" s="22"/>
      <c r="H32" s="22"/>
      <c r="I32" s="22"/>
      <c r="J32" s="22"/>
    </row>
    <row r="33" spans="2:10" x14ac:dyDescent="0.3">
      <c r="B33" s="22"/>
      <c r="C33" s="22"/>
      <c r="D33" s="22"/>
      <c r="E33" s="22"/>
      <c r="F33" s="22"/>
      <c r="G33" s="22"/>
      <c r="H33" s="22"/>
      <c r="I33" s="22"/>
      <c r="J33" s="22"/>
    </row>
    <row r="34" spans="2:10" x14ac:dyDescent="0.3">
      <c r="B34" s="22"/>
      <c r="C34" s="22"/>
      <c r="D34" s="22"/>
      <c r="E34" s="22"/>
      <c r="F34" s="22"/>
      <c r="G34" s="22"/>
      <c r="H34" s="22"/>
      <c r="I34" s="22"/>
      <c r="J34" s="22"/>
    </row>
    <row r="35" spans="2:10" ht="15.5" x14ac:dyDescent="0.35">
      <c r="B35" s="8"/>
      <c r="C35" s="8"/>
      <c r="D35" s="8"/>
      <c r="E35" s="8"/>
      <c r="F35" s="8"/>
      <c r="G35" s="8"/>
      <c r="H35" s="8"/>
      <c r="I35" s="8"/>
      <c r="J35" s="8"/>
    </row>
    <row r="36" spans="2:10" ht="15.5" x14ac:dyDescent="0.35">
      <c r="B36" s="8"/>
      <c r="C36" s="8"/>
      <c r="D36" s="8"/>
      <c r="E36" s="8"/>
      <c r="F36" s="8"/>
      <c r="G36" s="8"/>
      <c r="H36" s="8"/>
      <c r="I36" s="8"/>
      <c r="J36" s="8"/>
    </row>
  </sheetData>
  <mergeCells count="32">
    <mergeCell ref="B2:J2"/>
    <mergeCell ref="B4:C4"/>
    <mergeCell ref="D4:G4"/>
    <mergeCell ref="H4:I4"/>
    <mergeCell ref="B5:C5"/>
    <mergeCell ref="D5:J5"/>
    <mergeCell ref="C14:E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E13"/>
    <mergeCell ref="B31:J32"/>
    <mergeCell ref="B33:J34"/>
    <mergeCell ref="C16:E16"/>
    <mergeCell ref="C17:I17"/>
    <mergeCell ref="C18:I18"/>
    <mergeCell ref="C19:I19"/>
    <mergeCell ref="C21:J21"/>
    <mergeCell ref="C22:E22"/>
    <mergeCell ref="C15:E15"/>
    <mergeCell ref="C23:E23"/>
    <mergeCell ref="C24:E24"/>
    <mergeCell ref="C25:E25"/>
    <mergeCell ref="B26:J28"/>
  </mergeCells>
  <pageMargins left="0.7" right="0.7" top="0.75" bottom="0.75" header="0.3" footer="0.3"/>
  <pageSetup paperSize="9" scale="7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DAD21-3DB0-4491-983D-B6F63C5F19CF}">
  <sheetPr>
    <pageSetUpPr fitToPage="1"/>
  </sheetPr>
  <dimension ref="B2:M34"/>
  <sheetViews>
    <sheetView tabSelected="1" zoomScaleNormal="100" workbookViewId="0">
      <selection activeCell="K14" sqref="K14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08984375" style="1" customWidth="1"/>
    <col min="11" max="11" width="8.6328125" style="1"/>
    <col min="12" max="12" width="11.36328125" style="1" bestFit="1" customWidth="1"/>
    <col min="13" max="13" width="9.90625" style="1" bestFit="1" customWidth="1"/>
    <col min="14" max="16384" width="8.6328125" style="1"/>
  </cols>
  <sheetData>
    <row r="2" spans="2:13" ht="17.5" x14ac:dyDescent="0.35">
      <c r="B2" s="32" t="s">
        <v>0</v>
      </c>
      <c r="C2" s="32"/>
      <c r="D2" s="32"/>
      <c r="E2" s="32"/>
      <c r="F2" s="32"/>
      <c r="G2" s="32"/>
      <c r="H2" s="32"/>
      <c r="I2" s="32"/>
      <c r="J2" s="32"/>
    </row>
    <row r="3" spans="2:13" ht="39" customHeight="1" x14ac:dyDescent="0.35">
      <c r="B3" s="17"/>
      <c r="C3" s="17"/>
      <c r="D3" s="17"/>
      <c r="E3" s="17"/>
      <c r="F3" s="17"/>
      <c r="G3" s="17"/>
      <c r="H3" s="17"/>
      <c r="I3" s="17"/>
      <c r="J3" s="17"/>
    </row>
    <row r="4" spans="2:13" ht="15.65" customHeight="1" x14ac:dyDescent="0.35">
      <c r="B4" s="33" t="s">
        <v>16</v>
      </c>
      <c r="C4" s="33"/>
      <c r="D4" s="20" t="s">
        <v>24</v>
      </c>
      <c r="E4" s="20"/>
      <c r="F4" s="20"/>
      <c r="G4" s="20"/>
      <c r="H4" s="34" t="s">
        <v>22</v>
      </c>
      <c r="I4" s="34"/>
      <c r="J4" s="8">
        <v>57</v>
      </c>
    </row>
    <row r="5" spans="2:13" ht="18.899999999999999" customHeight="1" x14ac:dyDescent="0.3">
      <c r="B5" s="22" t="s">
        <v>1</v>
      </c>
      <c r="C5" s="22"/>
      <c r="D5" s="21" t="s">
        <v>25</v>
      </c>
      <c r="E5" s="21"/>
      <c r="F5" s="21"/>
      <c r="G5" s="21"/>
      <c r="H5" s="21"/>
      <c r="I5" s="21"/>
      <c r="J5" s="21"/>
    </row>
    <row r="6" spans="2:13" ht="30.9" customHeight="1" x14ac:dyDescent="0.35">
      <c r="B6" s="26" t="s">
        <v>29</v>
      </c>
      <c r="C6" s="26"/>
      <c r="D6" s="26"/>
      <c r="E6" s="26"/>
      <c r="F6" s="26"/>
      <c r="G6" s="26"/>
      <c r="H6" s="10" t="s">
        <v>2</v>
      </c>
      <c r="I6" s="27">
        <v>45770</v>
      </c>
      <c r="J6" s="28"/>
    </row>
    <row r="7" spans="2:13" ht="20.149999999999999" customHeight="1" x14ac:dyDescent="0.3">
      <c r="B7" s="29" t="s">
        <v>3</v>
      </c>
      <c r="C7" s="29"/>
      <c r="D7" s="30" t="s">
        <v>36</v>
      </c>
      <c r="E7" s="30"/>
      <c r="F7" s="30"/>
      <c r="G7" s="30"/>
      <c r="H7" s="3" t="s">
        <v>17</v>
      </c>
      <c r="I7" s="27">
        <v>45766</v>
      </c>
      <c r="J7" s="28"/>
    </row>
    <row r="8" spans="2:13" ht="18.899999999999999" customHeight="1" x14ac:dyDescent="0.3">
      <c r="B8" s="22" t="s">
        <v>5</v>
      </c>
      <c r="C8" s="22"/>
      <c r="D8" s="21" t="s">
        <v>36</v>
      </c>
      <c r="E8" s="21"/>
      <c r="F8" s="21"/>
      <c r="G8" s="21"/>
      <c r="H8" s="21"/>
      <c r="I8" s="21"/>
      <c r="J8" s="21"/>
    </row>
    <row r="9" spans="2:13" ht="20.399999999999999" customHeight="1" x14ac:dyDescent="0.3">
      <c r="B9" s="22" t="s">
        <v>4</v>
      </c>
      <c r="C9" s="22"/>
      <c r="D9" s="22"/>
      <c r="E9" s="22"/>
      <c r="F9" s="22"/>
      <c r="G9" s="22"/>
      <c r="H9" s="22"/>
      <c r="I9" s="22"/>
      <c r="J9" s="22"/>
    </row>
    <row r="10" spans="2:13" ht="30" x14ac:dyDescent="0.3">
      <c r="B10" s="2" t="s">
        <v>11</v>
      </c>
      <c r="C10" s="31" t="s">
        <v>6</v>
      </c>
      <c r="D10" s="31"/>
      <c r="E10" s="31"/>
      <c r="F10" s="3" t="s">
        <v>7</v>
      </c>
      <c r="G10" s="15" t="s">
        <v>8</v>
      </c>
      <c r="H10" s="15" t="s">
        <v>9</v>
      </c>
      <c r="I10" s="2" t="s">
        <v>21</v>
      </c>
      <c r="J10" s="16" t="s">
        <v>10</v>
      </c>
    </row>
    <row r="11" spans="2:13" ht="33.9" customHeight="1" x14ac:dyDescent="0.3">
      <c r="B11" s="4">
        <v>1</v>
      </c>
      <c r="C11" s="30" t="s">
        <v>44</v>
      </c>
      <c r="D11" s="30"/>
      <c r="E11" s="30"/>
      <c r="F11" s="5">
        <v>1</v>
      </c>
      <c r="G11" s="13">
        <v>2507.3000000000002</v>
      </c>
      <c r="H11" s="4" t="s">
        <v>28</v>
      </c>
      <c r="I11" s="14">
        <v>195</v>
      </c>
      <c r="J11" s="6">
        <f t="shared" ref="J11:J14" si="0">F11*I11*G11</f>
        <v>488923.50000000006</v>
      </c>
      <c r="M11" s="19"/>
    </row>
    <row r="12" spans="2:13" ht="33.9" customHeight="1" x14ac:dyDescent="0.3">
      <c r="B12" s="4">
        <v>2</v>
      </c>
      <c r="C12" s="30" t="s">
        <v>45</v>
      </c>
      <c r="D12" s="30"/>
      <c r="E12" s="30"/>
      <c r="F12" s="5">
        <v>1</v>
      </c>
      <c r="G12" s="13">
        <v>1</v>
      </c>
      <c r="H12" s="4" t="s">
        <v>46</v>
      </c>
      <c r="I12" s="14">
        <v>6000</v>
      </c>
      <c r="J12" s="6">
        <f t="shared" si="0"/>
        <v>6000</v>
      </c>
      <c r="M12" s="19"/>
    </row>
    <row r="13" spans="2:13" ht="33.9" customHeight="1" x14ac:dyDescent="0.3">
      <c r="B13" s="4">
        <v>3</v>
      </c>
      <c r="C13" s="30" t="s">
        <v>47</v>
      </c>
      <c r="D13" s="30"/>
      <c r="E13" s="30"/>
      <c r="F13" s="5">
        <v>1</v>
      </c>
      <c r="G13" s="13">
        <v>326.25</v>
      </c>
      <c r="H13" s="4" t="s">
        <v>28</v>
      </c>
      <c r="I13" s="14">
        <v>300</v>
      </c>
      <c r="J13" s="6">
        <f t="shared" si="0"/>
        <v>97875</v>
      </c>
      <c r="M13" s="19"/>
    </row>
    <row r="14" spans="2:13" ht="33.9" customHeight="1" x14ac:dyDescent="0.3">
      <c r="B14" s="4">
        <v>4</v>
      </c>
      <c r="C14" s="30" t="s">
        <v>48</v>
      </c>
      <c r="D14" s="30"/>
      <c r="E14" s="30"/>
      <c r="F14" s="5">
        <v>1</v>
      </c>
      <c r="G14" s="13">
        <v>199</v>
      </c>
      <c r="H14" s="4" t="s">
        <v>27</v>
      </c>
      <c r="I14" s="14">
        <v>500</v>
      </c>
      <c r="J14" s="6">
        <f t="shared" si="0"/>
        <v>99500</v>
      </c>
    </row>
    <row r="15" spans="2:13" ht="17.399999999999999" customHeight="1" x14ac:dyDescent="0.35">
      <c r="B15" s="18"/>
      <c r="C15" s="25" t="s">
        <v>18</v>
      </c>
      <c r="D15" s="25"/>
      <c r="E15" s="25"/>
      <c r="F15" s="25"/>
      <c r="G15" s="25"/>
      <c r="H15" s="25"/>
      <c r="I15" s="25"/>
      <c r="J15" s="35">
        <f>SUM(J11:J14)</f>
        <v>692298.5</v>
      </c>
    </row>
    <row r="16" spans="2:13" ht="17.399999999999999" customHeight="1" x14ac:dyDescent="0.35">
      <c r="B16" s="18"/>
      <c r="C16" s="23" t="s">
        <v>23</v>
      </c>
      <c r="D16" s="23"/>
      <c r="E16" s="23"/>
      <c r="F16" s="23"/>
      <c r="G16" s="23"/>
      <c r="H16" s="23"/>
      <c r="I16" s="23"/>
      <c r="J16" s="35">
        <v>0</v>
      </c>
    </row>
    <row r="17" spans="2:12" ht="17.399999999999999" customHeight="1" x14ac:dyDescent="0.35">
      <c r="B17" s="18"/>
      <c r="C17" s="23"/>
      <c r="D17" s="23"/>
      <c r="E17" s="23"/>
      <c r="F17" s="23"/>
      <c r="G17" s="23"/>
      <c r="H17" s="23"/>
      <c r="I17" s="23"/>
      <c r="J17" s="35"/>
      <c r="L17" s="19"/>
    </row>
    <row r="18" spans="2:12" ht="17.399999999999999" customHeight="1" x14ac:dyDescent="0.35">
      <c r="B18" s="18"/>
      <c r="C18" s="16"/>
      <c r="D18" s="16"/>
      <c r="E18" s="16"/>
      <c r="F18" s="16"/>
      <c r="G18" s="16"/>
      <c r="H18" s="16"/>
      <c r="I18" s="16"/>
      <c r="J18" s="35">
        <f>J15+J16+J17</f>
        <v>692298.5</v>
      </c>
    </row>
    <row r="19" spans="2:12" ht="15.5" x14ac:dyDescent="0.35">
      <c r="B19" s="8"/>
      <c r="C19" s="24" t="s">
        <v>49</v>
      </c>
      <c r="D19" s="24"/>
      <c r="E19" s="24"/>
      <c r="F19" s="24"/>
      <c r="G19" s="24"/>
      <c r="H19" s="24"/>
      <c r="I19" s="24"/>
      <c r="J19" s="24"/>
    </row>
    <row r="20" spans="2:12" ht="15.5" x14ac:dyDescent="0.35">
      <c r="B20" s="18"/>
      <c r="C20" s="20" t="s">
        <v>12</v>
      </c>
      <c r="D20" s="20"/>
      <c r="E20" s="20"/>
      <c r="F20" s="8"/>
      <c r="G20" s="8"/>
      <c r="H20" s="8"/>
      <c r="I20" s="8"/>
      <c r="J20" s="9">
        <v>0</v>
      </c>
    </row>
    <row r="21" spans="2:12" ht="15.5" x14ac:dyDescent="0.35">
      <c r="B21" s="18"/>
      <c r="C21" s="20" t="s">
        <v>20</v>
      </c>
      <c r="D21" s="20"/>
      <c r="E21" s="20"/>
      <c r="F21" s="8"/>
      <c r="G21" s="8"/>
      <c r="H21" s="8"/>
      <c r="I21" s="8"/>
      <c r="J21" s="9">
        <v>0</v>
      </c>
    </row>
    <row r="22" spans="2:12" ht="15.5" x14ac:dyDescent="0.35">
      <c r="B22" s="18"/>
      <c r="C22" s="20" t="s">
        <v>13</v>
      </c>
      <c r="D22" s="20"/>
      <c r="E22" s="20"/>
      <c r="F22" s="8"/>
      <c r="G22" s="8" t="s">
        <v>19</v>
      </c>
      <c r="H22" s="8"/>
      <c r="I22" s="8"/>
      <c r="J22" s="12">
        <f>J18</f>
        <v>692298.5</v>
      </c>
    </row>
    <row r="23" spans="2:12" ht="15.5" x14ac:dyDescent="0.35">
      <c r="B23" s="8"/>
      <c r="C23" s="20"/>
      <c r="D23" s="20"/>
      <c r="E23" s="20"/>
      <c r="F23" s="8"/>
      <c r="G23" s="8"/>
      <c r="H23" s="8"/>
      <c r="I23" s="8"/>
      <c r="J23" s="8"/>
      <c r="L23" s="11"/>
    </row>
    <row r="24" spans="2:12" x14ac:dyDescent="0.3">
      <c r="B24" s="21" t="s">
        <v>14</v>
      </c>
      <c r="C24" s="21"/>
      <c r="D24" s="21"/>
      <c r="E24" s="21"/>
      <c r="F24" s="21"/>
      <c r="G24" s="21"/>
      <c r="H24" s="21"/>
      <c r="I24" s="21"/>
      <c r="J24" s="21"/>
    </row>
    <row r="25" spans="2:12" x14ac:dyDescent="0.3">
      <c r="B25" s="21"/>
      <c r="C25" s="21"/>
      <c r="D25" s="21"/>
      <c r="E25" s="21"/>
      <c r="F25" s="21"/>
      <c r="G25" s="21"/>
      <c r="H25" s="21"/>
      <c r="I25" s="21"/>
      <c r="J25" s="21"/>
    </row>
    <row r="26" spans="2:12" x14ac:dyDescent="0.3">
      <c r="B26" s="21"/>
      <c r="C26" s="21"/>
      <c r="D26" s="21"/>
      <c r="E26" s="21"/>
      <c r="F26" s="21"/>
      <c r="G26" s="21"/>
      <c r="H26" s="21"/>
      <c r="I26" s="21"/>
      <c r="J26" s="21"/>
    </row>
    <row r="29" spans="2:12" ht="14.15" customHeight="1" x14ac:dyDescent="0.3">
      <c r="B29" s="22" t="s">
        <v>15</v>
      </c>
      <c r="C29" s="22"/>
      <c r="D29" s="22"/>
      <c r="E29" s="22"/>
      <c r="F29" s="22"/>
      <c r="G29" s="22"/>
      <c r="H29" s="22"/>
      <c r="I29" s="22"/>
      <c r="J29" s="22"/>
    </row>
    <row r="30" spans="2:12" ht="14.15" customHeight="1" x14ac:dyDescent="0.3">
      <c r="B30" s="22"/>
      <c r="C30" s="22"/>
      <c r="D30" s="22"/>
      <c r="E30" s="22"/>
      <c r="F30" s="22"/>
      <c r="G30" s="22"/>
      <c r="H30" s="22"/>
      <c r="I30" s="22"/>
      <c r="J30" s="22"/>
    </row>
    <row r="31" spans="2:12" x14ac:dyDescent="0.3">
      <c r="B31" s="22"/>
      <c r="C31" s="22"/>
      <c r="D31" s="22"/>
      <c r="E31" s="22"/>
      <c r="F31" s="22"/>
      <c r="G31" s="22"/>
      <c r="H31" s="22"/>
      <c r="I31" s="22"/>
      <c r="J31" s="22"/>
    </row>
    <row r="32" spans="2:12" x14ac:dyDescent="0.3">
      <c r="B32" s="22"/>
      <c r="C32" s="22"/>
      <c r="D32" s="22"/>
      <c r="E32" s="22"/>
      <c r="F32" s="22"/>
      <c r="G32" s="22"/>
      <c r="H32" s="22"/>
      <c r="I32" s="22"/>
      <c r="J32" s="22"/>
    </row>
    <row r="33" spans="2:10" ht="15.5" x14ac:dyDescent="0.35">
      <c r="B33" s="8"/>
      <c r="C33" s="8"/>
      <c r="D33" s="8"/>
      <c r="E33" s="8"/>
      <c r="F33" s="8"/>
      <c r="G33" s="8"/>
      <c r="H33" s="8"/>
      <c r="I33" s="8"/>
      <c r="J33" s="8"/>
    </row>
    <row r="34" spans="2:10" ht="15.5" x14ac:dyDescent="0.35">
      <c r="B34" s="8"/>
      <c r="C34" s="8"/>
      <c r="D34" s="8"/>
      <c r="E34" s="8"/>
      <c r="F34" s="8"/>
      <c r="G34" s="8"/>
      <c r="H34" s="8"/>
      <c r="I34" s="8"/>
      <c r="J34" s="8"/>
    </row>
  </sheetData>
  <mergeCells count="30">
    <mergeCell ref="B31:J32"/>
    <mergeCell ref="C20:E20"/>
    <mergeCell ref="C21:E21"/>
    <mergeCell ref="C22:E22"/>
    <mergeCell ref="C23:E23"/>
    <mergeCell ref="B24:J26"/>
    <mergeCell ref="B29:J30"/>
    <mergeCell ref="C15:I15"/>
    <mergeCell ref="C16:I16"/>
    <mergeCell ref="C17:I17"/>
    <mergeCell ref="C19:J19"/>
    <mergeCell ref="B9:J9"/>
    <mergeCell ref="C10:E10"/>
    <mergeCell ref="C11:E11"/>
    <mergeCell ref="C12:E12"/>
    <mergeCell ref="C13:E13"/>
    <mergeCell ref="C14:E14"/>
    <mergeCell ref="B6:G6"/>
    <mergeCell ref="I6:J6"/>
    <mergeCell ref="B7:C7"/>
    <mergeCell ref="D7:G7"/>
    <mergeCell ref="I7:J7"/>
    <mergeCell ref="B8:C8"/>
    <mergeCell ref="D8:J8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2025-02-11T14:16:09Z</cp:lastPrinted>
  <dcterms:created xsi:type="dcterms:W3CDTF">2017-06-28T08:31:23Z</dcterms:created>
  <dcterms:modified xsi:type="dcterms:W3CDTF">2025-04-23T09:18:34Z</dcterms:modified>
</cp:coreProperties>
</file>