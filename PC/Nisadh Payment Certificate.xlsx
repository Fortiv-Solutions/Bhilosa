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F42BCD95-E001-4948-800D-23CF31E411AC}" xr6:coauthVersionLast="47" xr6:coauthVersionMax="47" xr10:uidLastSave="{00000000-0000-0000-0000-000000000000}"/>
  <bookViews>
    <workbookView xWindow="-110" yWindow="-110" windowWidth="19420" windowHeight="10300" activeTab="12" xr2:uid="{00000000-000D-0000-FFFF-FFFF00000000}"/>
  </bookViews>
  <sheets>
    <sheet name="1" sheetId="26" r:id="rId1"/>
    <sheet name="2" sheetId="28" r:id="rId2"/>
    <sheet name="3" sheetId="27" r:id="rId3"/>
    <sheet name="4" sheetId="29" r:id="rId4"/>
    <sheet name="5" sheetId="30" r:id="rId5"/>
    <sheet name="6" sheetId="31" r:id="rId6"/>
    <sheet name="7" sheetId="32" r:id="rId7"/>
    <sheet name="8" sheetId="33" r:id="rId8"/>
    <sheet name="9" sheetId="34" r:id="rId9"/>
    <sheet name="10" sheetId="35" r:id="rId10"/>
    <sheet name="11" sheetId="36" r:id="rId11"/>
    <sheet name="12" sheetId="37" r:id="rId12"/>
    <sheet name="13" sheetId="3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38" l="1"/>
  <c r="I13" i="38"/>
  <c r="I12" i="38"/>
  <c r="J13" i="38"/>
  <c r="J12" i="38"/>
  <c r="J14" i="38"/>
  <c r="I12" i="37"/>
  <c r="J12" i="37"/>
  <c r="J13" i="37" s="1"/>
  <c r="J16" i="37" s="1"/>
  <c r="J20" i="37" s="1"/>
  <c r="I12" i="36"/>
  <c r="J12" i="36"/>
  <c r="J13" i="36" s="1"/>
  <c r="J16" i="36" s="1"/>
  <c r="J20" i="36" s="1"/>
  <c r="I12" i="35"/>
  <c r="J12" i="35"/>
  <c r="J13" i="35" s="1"/>
  <c r="J16" i="35" s="1"/>
  <c r="J20" i="35" s="1"/>
  <c r="I12" i="34"/>
  <c r="J12" i="34"/>
  <c r="J13" i="34" s="1"/>
  <c r="J16" i="34" s="1"/>
  <c r="J20" i="34" s="1"/>
  <c r="I13" i="33"/>
  <c r="J13" i="33" s="1"/>
  <c r="I12" i="33"/>
  <c r="J12" i="33" s="1"/>
  <c r="J15" i="32"/>
  <c r="J14" i="32"/>
  <c r="J13" i="32"/>
  <c r="J12" i="32"/>
  <c r="I14" i="31"/>
  <c r="J14" i="31" s="1"/>
  <c r="I13" i="31"/>
  <c r="J13" i="31" s="1"/>
  <c r="I12" i="31"/>
  <c r="J12" i="31" s="1"/>
  <c r="J15" i="31"/>
  <c r="J16" i="31" s="1"/>
  <c r="I15" i="30"/>
  <c r="J15" i="30" s="1"/>
  <c r="I14" i="30"/>
  <c r="J14" i="30" s="1"/>
  <c r="I13" i="30"/>
  <c r="J13" i="30" s="1"/>
  <c r="J15" i="38" l="1"/>
  <c r="J18" i="38" s="1"/>
  <c r="J22" i="38" s="1"/>
  <c r="J14" i="33"/>
  <c r="J17" i="33" s="1"/>
  <c r="J21" i="33" s="1"/>
  <c r="J16" i="32"/>
  <c r="J19" i="32" s="1"/>
  <c r="J23" i="32" s="1"/>
  <c r="J19" i="31"/>
  <c r="J23" i="31" s="1"/>
  <c r="I12" i="30"/>
  <c r="J12" i="30" s="1"/>
  <c r="J16" i="30" s="1"/>
  <c r="J19" i="30" s="1"/>
  <c r="J23" i="30" s="1"/>
  <c r="J15" i="29"/>
  <c r="I12" i="29"/>
  <c r="J12" i="29" s="1"/>
  <c r="I14" i="29"/>
  <c r="J14" i="29" s="1"/>
  <c r="J18" i="29" s="1"/>
  <c r="J22" i="29" s="1"/>
  <c r="J13" i="28"/>
  <c r="I13" i="28"/>
  <c r="I12" i="28"/>
  <c r="J12" i="28" s="1"/>
  <c r="J11" i="28"/>
  <c r="J14" i="28" s="1"/>
  <c r="J17" i="28" s="1"/>
  <c r="J21" i="28" s="1"/>
  <c r="I11" i="28"/>
  <c r="I11" i="27"/>
  <c r="J11" i="27" s="1"/>
  <c r="I13" i="26"/>
  <c r="I12" i="26"/>
  <c r="J12" i="26" s="1"/>
  <c r="I11" i="26"/>
  <c r="J12" i="27" l="1"/>
  <c r="J15" i="27" s="1"/>
  <c r="J19" i="27" s="1"/>
  <c r="J13" i="26"/>
  <c r="J11" i="26"/>
  <c r="J14" i="26" l="1"/>
  <c r="J17" i="26" s="1"/>
  <c r="J21" i="26" s="1"/>
</calcChain>
</file>

<file path=xl/sharedStrings.xml><?xml version="1.0" encoding="utf-8"?>
<sst xmlns="http://schemas.openxmlformats.org/spreadsheetml/2006/main" count="461" uniqueCount="81">
  <si>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</si>
  <si>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</si>
  <si>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</si>
  <si>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</si>
  <si>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</si>
  <si>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</si>
  <si>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</si>
  <si>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</si>
  <si>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</si>
  <si>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</si>
  <si>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</si>
  <si>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</si>
  <si>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</si>
  <si>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</si>
  <si>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</si>
  <si>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</si>
  <si>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</si>
  <si>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</si>
  <si>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</si>
  <si>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</si>
  <si>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</si>
  <si>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</si>
  <si>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</si>
  <si>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</si>
  <si>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Nos.</t>
  </si>
  <si>
    <t>To, 
Tanvi Infracon - Pramukh Revanta Project</t>
  </si>
  <si>
    <t>Hina N. Shah</t>
  </si>
  <si>
    <t>Nisadhbhai</t>
  </si>
  <si>
    <t>Plumbing Work C-Building</t>
  </si>
  <si>
    <t>C- Building Plumbing work</t>
  </si>
  <si>
    <t>Inlet fitting Work (1st, 2nd, 3rd Floor)</t>
  </si>
  <si>
    <t>Internal Drainage Work (1st, 2nd, 3rd Floor)</t>
  </si>
  <si>
    <t>Waterproofing work (1st, 2nd, 3rd Floor)</t>
  </si>
  <si>
    <t>Two Lakh Twenty Four Thousand Four Hundred Only</t>
  </si>
  <si>
    <t>Inlet fitting Work (4th (2 Flats), 5th, 6th (3 Flats), 7th (3 Flats) Floor)</t>
  </si>
  <si>
    <t>Internal Drainage Work  (4th (2 Flats), 5th, 6th (3 Flats), 7th (3 Flats) Floor)</t>
  </si>
  <si>
    <t>Waterproofing work  (4th (2 Flats), 5th, 6th (3 Flats), 7th (3 Flats) Floor)</t>
  </si>
  <si>
    <t>Two Lakh Fourty Thousand One Hundred Only</t>
  </si>
  <si>
    <t>Twenty Seven Thousand Two Hundred Only</t>
  </si>
  <si>
    <t>C- Tower Flat No. 905, 906, 907, 908, 1008, 1007, 1108, 1107, 1208, 1207 (10 Flats)</t>
  </si>
  <si>
    <t>Inlet fitting Work (9th, 10th, 11th, 12th (10 Flats)</t>
  </si>
  <si>
    <t>A- Tower Flat No. 201, 202, 301, 302, 401, 402 (6 Flats)</t>
  </si>
  <si>
    <t>Inlet fitting Work (2nd, 3rd, 4th) (4 Flats)</t>
  </si>
  <si>
    <t>Ninty Five Thousand Two Hundred Only</t>
  </si>
  <si>
    <t>Inlet fitting Work 8th floor (4 Flats)</t>
  </si>
  <si>
    <t xml:space="preserve">C-Tower </t>
  </si>
  <si>
    <t>107 and 108 Side OTS work</t>
  </si>
  <si>
    <t>Inlet fitting Work (1307 &amp; 1308) (2 Flats)</t>
  </si>
  <si>
    <t>Internal Drainage Work  (807, 808, 907, 908, 1007, 1008, 1207, 1208, 1307, 1308, 1107, 1108- 12 Flats)</t>
  </si>
  <si>
    <t>Waterproofing work (807, 808, 907, 908, 1007, 1008, 1207, 1208, 1307, 1308, 1107, 1108- 12 Flats)</t>
  </si>
  <si>
    <t>Two Lakh Fourty Four Thousand Eight Hundred only</t>
  </si>
  <si>
    <t>Inlet fitting Work (1005, 1006, 1105, 1106, 1205, 1206, 1305, 1306) (8 Flats)</t>
  </si>
  <si>
    <t>Internal Drainage Work  (805, 806, 905, 906, 1005, 1006, 1105, 1106, 1205, 1206, 1305, 1306) (12 Flats)</t>
  </si>
  <si>
    <t>Waterproofing work (805, 806, 905, 906, 1005, 1006, 1105, 1106, 1205, 1206,1305, 1306) (12 Flats)</t>
  </si>
  <si>
    <t>105 and 108 Side OTS work</t>
  </si>
  <si>
    <t>OTS</t>
  </si>
  <si>
    <t>Two Lakh Eighty Five Thousand Six Hundred Thirteen Only</t>
  </si>
  <si>
    <t>External Vertical Line Work OTS 105 Nos. Side (1 OTS)</t>
  </si>
  <si>
    <t>External Vertical Line Work OTS 106 Nos. Side (3 OTS)</t>
  </si>
  <si>
    <t>External Vertical Line Work OTS 108 Nos. Side (1 OTS)</t>
  </si>
  <si>
    <t>External Vertical Line Work OTS 107 Nos. Side (1 OTS)</t>
  </si>
  <si>
    <t>One Lakh Seventy Six Thousand Eight Hundred Twenty Six Only</t>
  </si>
  <si>
    <t>A- Building Plumbing work</t>
  </si>
  <si>
    <t>A-Tower</t>
  </si>
  <si>
    <t>Inlet Fitting Works 101, 102, 502, 601, 602, 702, 801, 802, 901, 902, 1001, 1002, 1101, 1102, 1201, 1202, 1301, 1302</t>
  </si>
  <si>
    <t>Previous Bill Pending Flat 201, 301 Inlet Fitting work</t>
  </si>
  <si>
    <t>One Lakh Thirty Six Thousand Only</t>
  </si>
  <si>
    <t>Plumbing Work A-Building</t>
  </si>
  <si>
    <t>One Lakh Seventy Six Thousand Eight Hundred Only</t>
  </si>
  <si>
    <t>External Plumbing work (20%) (26- Flats)</t>
  </si>
  <si>
    <t>Internal Drainage work (10%) (23- Flats)</t>
  </si>
  <si>
    <t>Seventy Eight Thousand Two Hundred Only</t>
  </si>
  <si>
    <t>Waterproofing work (25%) (23- Flats)</t>
  </si>
  <si>
    <t>One Lakh Ninty Five Thousand Five hundred only</t>
  </si>
  <si>
    <t>Terrace Looping work (10% of Total Cost)</t>
  </si>
  <si>
    <t>Eighty Eight Thousand Four Hundred Only</t>
  </si>
  <si>
    <t>C-Tower</t>
  </si>
  <si>
    <t>C.P. Fitting 7.5% (45 Nos.)</t>
  </si>
  <si>
    <t>Sanitary Fitting 7.5% (45 Nos.)</t>
  </si>
  <si>
    <t>Waterproofing and Coating in Naked flat (15%)(3 Flats)</t>
  </si>
  <si>
    <t>Two Lakh Fourty Four Thousand Eight Hundred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</si>
</sst>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165" fontId="4" fillId="0" borderId="0" xfId="1" applyNumberFormat="1" applyFont="1" applyFill="1" applyAlignment="1">
      <alignment horizontal="center" vertical="center"/>
    </xf>
    <xf numFmtId="43" fontId="2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3"/>
  <sheetViews>
    <sheetView topLeftCell="A7" zoomScaleNormal="100" workbookViewId="0">
      <selection activeCell="C13" sqref="C13:J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1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45223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45221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8" t="s">
        <v>30</v>
      </c>
      <c r="D11" s="28"/>
      <c r="E11" s="28"/>
      <c r="F11" s="5">
        <v>1</v>
      </c>
      <c r="G11" s="12">
        <v>12</v>
      </c>
      <c r="H11" s="4" t="s">
        <v>24</v>
      </c>
      <c r="I11" s="13">
        <f>34000*20%</f>
        <v>6800</v>
      </c>
      <c r="J11" s="6">
        <f>F11*I11*G11</f>
        <v>81600</v>
      </c>
    </row>
    <row r="12" spans="2:10" ht="33.9" customHeight="1" x14ac:dyDescent="0.3">
      <c r="B12" s="4">
        <v>2</v>
      </c>
      <c r="C12" s="28" t="s">
        <v>31</v>
      </c>
      <c r="D12" s="28"/>
      <c r="E12" s="28"/>
      <c r="F12" s="5">
        <v>1</v>
      </c>
      <c r="G12" s="12">
        <v>12</v>
      </c>
      <c r="H12" s="4" t="s">
        <v>24</v>
      </c>
      <c r="I12" s="13">
        <f>34000*10%</f>
        <v>3400</v>
      </c>
      <c r="J12" s="6">
        <f>G12*I12</f>
        <v>40800</v>
      </c>
    </row>
    <row r="13" spans="2:10" ht="33.9" customHeight="1" x14ac:dyDescent="0.3">
      <c r="B13" s="4">
        <v>3</v>
      </c>
      <c r="C13" s="28" t="s">
        <v>32</v>
      </c>
      <c r="D13" s="28"/>
      <c r="E13" s="28"/>
      <c r="F13" s="5">
        <v>1</v>
      </c>
      <c r="G13" s="12">
        <v>12</v>
      </c>
      <c r="H13" s="4" t="s">
        <v>24</v>
      </c>
      <c r="I13" s="13">
        <f>34000*25%</f>
        <v>8500</v>
      </c>
      <c r="J13" s="6">
        <f>G13*I13</f>
        <v>102000</v>
      </c>
    </row>
    <row r="14" spans="2:10" ht="17.399999999999999" customHeight="1" x14ac:dyDescent="0.35">
      <c r="B14" s="17"/>
      <c r="C14" s="25" t="s">
        <v>18</v>
      </c>
      <c r="D14" s="25"/>
      <c r="E14" s="25"/>
      <c r="F14" s="25"/>
      <c r="G14" s="25"/>
      <c r="H14" s="25"/>
      <c r="I14" s="25"/>
      <c r="J14" s="7">
        <f>SUM(J11:J13)</f>
        <v>224400</v>
      </c>
    </row>
    <row r="15" spans="2:10" ht="17.399999999999999" customHeight="1" x14ac:dyDescent="0.35">
      <c r="B15" s="17"/>
      <c r="C15" s="26" t="s">
        <v>23</v>
      </c>
      <c r="D15" s="26"/>
      <c r="E15" s="26"/>
      <c r="F15" s="26"/>
      <c r="G15" s="26"/>
      <c r="H15" s="26"/>
      <c r="I15" s="26"/>
      <c r="J15" s="7">
        <v>0</v>
      </c>
    </row>
    <row r="16" spans="2:10" ht="17.399999999999999" customHeight="1" x14ac:dyDescent="0.35">
      <c r="B16" s="17"/>
      <c r="C16" s="26"/>
      <c r="D16" s="26"/>
      <c r="E16" s="26"/>
      <c r="F16" s="26"/>
      <c r="G16" s="26"/>
      <c r="H16" s="26"/>
      <c r="I16" s="26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224400</v>
      </c>
    </row>
    <row r="18" spans="2:12" ht="15.5" x14ac:dyDescent="0.35">
      <c r="B18" s="8"/>
      <c r="C18" s="22" t="s">
        <v>33</v>
      </c>
      <c r="D18" s="22"/>
      <c r="E18" s="22"/>
      <c r="F18" s="22"/>
      <c r="G18" s="22"/>
      <c r="H18" s="22"/>
      <c r="I18" s="22"/>
      <c r="J18" s="22"/>
    </row>
    <row r="19" spans="2:12" ht="15.5" x14ac:dyDescent="0.35">
      <c r="B19" s="17"/>
      <c r="C19" s="23" t="s">
        <v>12</v>
      </c>
      <c r="D19" s="23"/>
      <c r="E19" s="23"/>
      <c r="F19" s="8"/>
      <c r="G19" s="8"/>
      <c r="H19" s="8"/>
      <c r="I19" s="8"/>
      <c r="J19" s="9">
        <v>0</v>
      </c>
    </row>
    <row r="20" spans="2:12" ht="15.5" x14ac:dyDescent="0.35">
      <c r="B20" s="17"/>
      <c r="C20" s="23" t="s">
        <v>20</v>
      </c>
      <c r="D20" s="23"/>
      <c r="E20" s="23"/>
      <c r="F20" s="8"/>
      <c r="G20" s="8"/>
      <c r="H20" s="8"/>
      <c r="I20" s="8"/>
      <c r="J20" s="9">
        <v>0</v>
      </c>
    </row>
    <row r="21" spans="2:12" ht="15.5" x14ac:dyDescent="0.35">
      <c r="B21" s="17"/>
      <c r="C21" s="23" t="s">
        <v>13</v>
      </c>
      <c r="D21" s="23"/>
      <c r="E21" s="23"/>
      <c r="F21" s="8"/>
      <c r="G21" s="8" t="s">
        <v>19</v>
      </c>
      <c r="H21" s="8"/>
      <c r="I21" s="8"/>
      <c r="J21" s="18">
        <f>J17</f>
        <v>224400</v>
      </c>
    </row>
    <row r="22" spans="2:12" ht="15.5" x14ac:dyDescent="0.35">
      <c r="B22" s="8"/>
      <c r="C22" s="23"/>
      <c r="D22" s="23"/>
      <c r="E22" s="23"/>
      <c r="F22" s="8"/>
      <c r="G22" s="8"/>
      <c r="H22" s="8"/>
      <c r="I22" s="8"/>
      <c r="J22" s="8"/>
      <c r="L22" s="11"/>
    </row>
    <row r="23" spans="2:12" x14ac:dyDescent="0.3">
      <c r="B23" s="24" t="s">
        <v>14</v>
      </c>
      <c r="C23" s="24"/>
      <c r="D23" s="24"/>
      <c r="E23" s="24"/>
      <c r="F23" s="24"/>
      <c r="G23" s="24"/>
      <c r="H23" s="24"/>
      <c r="I23" s="24"/>
      <c r="J23" s="24"/>
    </row>
    <row r="24" spans="2:12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8" spans="2:12" ht="14.15" customHeight="1" x14ac:dyDescent="0.3">
      <c r="B28" s="21" t="s">
        <v>15</v>
      </c>
      <c r="C28" s="21"/>
      <c r="D28" s="21"/>
      <c r="E28" s="21"/>
      <c r="F28" s="21"/>
      <c r="G28" s="21"/>
      <c r="H28" s="21"/>
      <c r="I28" s="21"/>
      <c r="J28" s="21"/>
    </row>
    <row r="29" spans="2:12" ht="14.15" customHeight="1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2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2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4:I14"/>
    <mergeCell ref="C15:I15"/>
    <mergeCell ref="C16:I16"/>
    <mergeCell ref="B9:J9"/>
    <mergeCell ref="C10:E10"/>
    <mergeCell ref="C11:E11"/>
    <mergeCell ref="C13:E13"/>
    <mergeCell ref="C12:E12"/>
    <mergeCell ref="B28:J29"/>
    <mergeCell ref="B30:J31"/>
    <mergeCell ref="C18:J18"/>
    <mergeCell ref="C19:E19"/>
    <mergeCell ref="C20:E20"/>
    <mergeCell ref="C21:E21"/>
    <mergeCell ref="C22:E22"/>
    <mergeCell ref="B23:J25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B593-EB28-4685-8FBB-8C053423EB0A}">
  <sheetPr>
    <pageSetUpPr fitToPage="1"/>
  </sheetPr>
  <dimension ref="B2:L33"/>
  <sheetViews>
    <sheetView topLeftCell="A10" zoomScaleNormal="100" workbookViewId="0">
      <selection activeCell="C12" sqref="C12:J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2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44929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44929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8" t="s">
        <v>34</v>
      </c>
      <c r="D11" s="28"/>
      <c r="E11" s="28"/>
      <c r="F11" s="5">
        <v>1</v>
      </c>
      <c r="G11" s="12">
        <v>13</v>
      </c>
      <c r="H11" s="4" t="s">
        <v>24</v>
      </c>
      <c r="I11" s="13">
        <f>34000*20%</f>
        <v>6800</v>
      </c>
      <c r="J11" s="6">
        <f>F11*I11*G11</f>
        <v>88400</v>
      </c>
    </row>
    <row r="12" spans="2:10" ht="33.9" customHeight="1" x14ac:dyDescent="0.3">
      <c r="B12" s="4">
        <v>2</v>
      </c>
      <c r="C12" s="28" t="s">
        <v>35</v>
      </c>
      <c r="D12" s="28"/>
      <c r="E12" s="28"/>
      <c r="F12" s="5">
        <v>1</v>
      </c>
      <c r="G12" s="12">
        <v>13</v>
      </c>
      <c r="H12" s="4" t="s">
        <v>24</v>
      </c>
      <c r="I12" s="13">
        <f>34000*10%</f>
        <v>3400</v>
      </c>
      <c r="J12" s="6">
        <f>G12*I12</f>
        <v>44200</v>
      </c>
    </row>
    <row r="13" spans="2:10" ht="33.9" customHeight="1" x14ac:dyDescent="0.3">
      <c r="B13" s="4">
        <v>3</v>
      </c>
      <c r="C13" s="28" t="s">
        <v>36</v>
      </c>
      <c r="D13" s="28"/>
      <c r="E13" s="28"/>
      <c r="F13" s="5">
        <v>1</v>
      </c>
      <c r="G13" s="12">
        <v>13</v>
      </c>
      <c r="H13" s="4" t="s">
        <v>24</v>
      </c>
      <c r="I13" s="13">
        <f>34000*25%</f>
        <v>8500</v>
      </c>
      <c r="J13" s="6">
        <f>G13*I13</f>
        <v>110500</v>
      </c>
    </row>
    <row r="14" spans="2:10" ht="17.399999999999999" customHeight="1" x14ac:dyDescent="0.35">
      <c r="B14" s="17"/>
      <c r="C14" s="25" t="s">
        <v>18</v>
      </c>
      <c r="D14" s="25"/>
      <c r="E14" s="25"/>
      <c r="F14" s="25"/>
      <c r="G14" s="25"/>
      <c r="H14" s="25"/>
      <c r="I14" s="25"/>
      <c r="J14" s="7">
        <f>SUM(J11:J13)</f>
        <v>243100</v>
      </c>
    </row>
    <row r="15" spans="2:10" ht="17.399999999999999" customHeight="1" x14ac:dyDescent="0.35">
      <c r="B15" s="17"/>
      <c r="C15" s="26" t="s">
        <v>23</v>
      </c>
      <c r="D15" s="26"/>
      <c r="E15" s="26"/>
      <c r="F15" s="26"/>
      <c r="G15" s="26"/>
      <c r="H15" s="26"/>
      <c r="I15" s="26"/>
      <c r="J15" s="7">
        <v>0</v>
      </c>
    </row>
    <row r="16" spans="2:10" ht="17.399999999999999" customHeight="1" x14ac:dyDescent="0.35">
      <c r="B16" s="17"/>
      <c r="C16" s="26"/>
      <c r="D16" s="26"/>
      <c r="E16" s="26"/>
      <c r="F16" s="26"/>
      <c r="G16" s="26"/>
      <c r="H16" s="26"/>
      <c r="I16" s="26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243100</v>
      </c>
    </row>
    <row r="18" spans="2:12" ht="15.5" x14ac:dyDescent="0.35">
      <c r="B18" s="8"/>
      <c r="C18" s="22" t="s">
        <v>37</v>
      </c>
      <c r="D18" s="22"/>
      <c r="E18" s="22"/>
      <c r="F18" s="22"/>
      <c r="G18" s="22"/>
      <c r="H18" s="22"/>
      <c r="I18" s="22"/>
      <c r="J18" s="22"/>
    </row>
    <row r="19" spans="2:12" ht="15.5" x14ac:dyDescent="0.35">
      <c r="B19" s="17"/>
      <c r="C19" s="23" t="s">
        <v>12</v>
      </c>
      <c r="D19" s="23"/>
      <c r="E19" s="23"/>
      <c r="F19" s="8"/>
      <c r="G19" s="8"/>
      <c r="H19" s="8"/>
      <c r="I19" s="8"/>
      <c r="J19" s="9">
        <v>0</v>
      </c>
    </row>
    <row r="20" spans="2:12" ht="15.5" x14ac:dyDescent="0.35">
      <c r="B20" s="17"/>
      <c r="C20" s="23" t="s">
        <v>20</v>
      </c>
      <c r="D20" s="23"/>
      <c r="E20" s="23"/>
      <c r="F20" s="8"/>
      <c r="G20" s="8"/>
      <c r="H20" s="8"/>
      <c r="I20" s="8"/>
      <c r="J20" s="9">
        <v>0</v>
      </c>
    </row>
    <row r="21" spans="2:12" ht="15.5" x14ac:dyDescent="0.35">
      <c r="B21" s="17"/>
      <c r="C21" s="23" t="s">
        <v>13</v>
      </c>
      <c r="D21" s="23"/>
      <c r="E21" s="23"/>
      <c r="F21" s="8"/>
      <c r="G21" s="8" t="s">
        <v>19</v>
      </c>
      <c r="H21" s="8"/>
      <c r="I21" s="8"/>
      <c r="J21" s="18">
        <f>J17</f>
        <v>243100</v>
      </c>
    </row>
    <row r="22" spans="2:12" ht="15.5" x14ac:dyDescent="0.35">
      <c r="B22" s="8"/>
      <c r="C22" s="23"/>
      <c r="D22" s="23"/>
      <c r="E22" s="23"/>
      <c r="F22" s="8"/>
      <c r="G22" s="8"/>
      <c r="H22" s="8"/>
      <c r="I22" s="8"/>
      <c r="J22" s="8"/>
      <c r="L22" s="11"/>
    </row>
    <row r="23" spans="2:12" x14ac:dyDescent="0.3">
      <c r="B23" s="24" t="s">
        <v>14</v>
      </c>
      <c r="C23" s="24"/>
      <c r="D23" s="24"/>
      <c r="E23" s="24"/>
      <c r="F23" s="24"/>
      <c r="G23" s="24"/>
      <c r="H23" s="24"/>
      <c r="I23" s="24"/>
      <c r="J23" s="24"/>
    </row>
    <row r="24" spans="2:12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8" spans="2:12" ht="14.15" customHeight="1" x14ac:dyDescent="0.3">
      <c r="B28" s="21" t="s">
        <v>15</v>
      </c>
      <c r="C28" s="21"/>
      <c r="D28" s="21"/>
      <c r="E28" s="21"/>
      <c r="F28" s="21"/>
      <c r="G28" s="21"/>
      <c r="H28" s="21"/>
      <c r="I28" s="21"/>
      <c r="J28" s="21"/>
    </row>
    <row r="29" spans="2:12" ht="14.15" customHeight="1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2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2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C22:E22"/>
    <mergeCell ref="B23:J25"/>
    <mergeCell ref="B28:J29"/>
    <mergeCell ref="B30:J31"/>
    <mergeCell ref="C15:I15"/>
    <mergeCell ref="C16:I16"/>
    <mergeCell ref="C18:J18"/>
    <mergeCell ref="C19:E19"/>
    <mergeCell ref="C20:E20"/>
    <mergeCell ref="C21:E21"/>
  </mergeCells>
  <pageMargins left="0.7" right="0.7" top="0.75" bottom="0.75" header="0.3" footer="0.3"/>
  <pageSetup paperSize="9" scale="7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7A91-1C75-40C3-9301-FF39381D3BE3}">
  <sheetPr>
    <pageSetUpPr fitToPage="1"/>
  </sheetPr>
  <dimension ref="B2:L31"/>
  <sheetViews>
    <sheetView topLeftCell="A5" zoomScaleNormal="100" workbookViewId="0">
      <selection activeCell="C12" sqref="C12:I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3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45318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45316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8" t="s">
        <v>44</v>
      </c>
      <c r="D11" s="28"/>
      <c r="E11" s="28"/>
      <c r="F11" s="5">
        <v>1</v>
      </c>
      <c r="G11" s="12">
        <v>4</v>
      </c>
      <c r="H11" s="4" t="s">
        <v>24</v>
      </c>
      <c r="I11" s="13">
        <f>34000*20%</f>
        <v>6800</v>
      </c>
      <c r="J11" s="6">
        <f>F11*I11*G11</f>
        <v>27200</v>
      </c>
    </row>
    <row r="12" spans="2:10" ht="17.399999999999999" customHeight="1" x14ac:dyDescent="0.35">
      <c r="B12" s="17"/>
      <c r="C12" s="25" t="s">
        <v>18</v>
      </c>
      <c r="D12" s="25"/>
      <c r="E12" s="25"/>
      <c r="F12" s="25"/>
      <c r="G12" s="25"/>
      <c r="H12" s="25"/>
      <c r="I12" s="25"/>
      <c r="J12" s="7">
        <f>SUM(J11:J11)</f>
        <v>27200</v>
      </c>
    </row>
    <row r="13" spans="2:10" ht="17.399999999999999" customHeight="1" x14ac:dyDescent="0.35">
      <c r="B13" s="17"/>
      <c r="C13" s="26" t="s">
        <v>23</v>
      </c>
      <c r="D13" s="26"/>
      <c r="E13" s="26"/>
      <c r="F13" s="26"/>
      <c r="G13" s="26"/>
      <c r="H13" s="26"/>
      <c r="I13" s="26"/>
      <c r="J13" s="7">
        <v>0</v>
      </c>
    </row>
    <row r="14" spans="2:10" ht="17.399999999999999" customHeight="1" x14ac:dyDescent="0.35">
      <c r="B14" s="17"/>
      <c r="C14" s="26"/>
      <c r="D14" s="26"/>
      <c r="E14" s="26"/>
      <c r="F14" s="26"/>
      <c r="G14" s="26"/>
      <c r="H14" s="26"/>
      <c r="I14" s="26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7">
        <f>J12+J13+J14</f>
        <v>27200</v>
      </c>
    </row>
    <row r="16" spans="2:10" ht="15.5" x14ac:dyDescent="0.35">
      <c r="B16" s="8"/>
      <c r="C16" s="22" t="s">
        <v>38</v>
      </c>
      <c r="D16" s="22"/>
      <c r="E16" s="22"/>
      <c r="F16" s="22"/>
      <c r="G16" s="22"/>
      <c r="H16" s="22"/>
      <c r="I16" s="22"/>
      <c r="J16" s="22"/>
    </row>
    <row r="17" spans="2:12" ht="15.5" x14ac:dyDescent="0.35">
      <c r="B17" s="17"/>
      <c r="C17" s="23" t="s">
        <v>12</v>
      </c>
      <c r="D17" s="23"/>
      <c r="E17" s="23"/>
      <c r="F17" s="8"/>
      <c r="G17" s="8"/>
      <c r="H17" s="8"/>
      <c r="I17" s="8"/>
      <c r="J17" s="9">
        <v>0</v>
      </c>
    </row>
    <row r="18" spans="2:12" ht="15.5" x14ac:dyDescent="0.35">
      <c r="B18" s="17"/>
      <c r="C18" s="23" t="s">
        <v>20</v>
      </c>
      <c r="D18" s="23"/>
      <c r="E18" s="23"/>
      <c r="F18" s="8"/>
      <c r="G18" s="8"/>
      <c r="H18" s="8"/>
      <c r="I18" s="8"/>
      <c r="J18" s="9">
        <v>0</v>
      </c>
    </row>
    <row r="19" spans="2:12" ht="15.5" x14ac:dyDescent="0.35">
      <c r="B19" s="17"/>
      <c r="C19" s="23" t="s">
        <v>13</v>
      </c>
      <c r="D19" s="23"/>
      <c r="E19" s="23"/>
      <c r="F19" s="8"/>
      <c r="G19" s="8" t="s">
        <v>19</v>
      </c>
      <c r="H19" s="8"/>
      <c r="I19" s="8"/>
      <c r="J19" s="18">
        <f>J15</f>
        <v>27200</v>
      </c>
    </row>
    <row r="20" spans="2:12" ht="15.5" x14ac:dyDescent="0.35">
      <c r="B20" s="8"/>
      <c r="C20" s="23"/>
      <c r="D20" s="23"/>
      <c r="E20" s="23"/>
      <c r="F20" s="8"/>
      <c r="G20" s="8"/>
      <c r="H20" s="8"/>
      <c r="I20" s="8"/>
      <c r="J20" s="8"/>
      <c r="L20" s="11"/>
    </row>
    <row r="21" spans="2:12" x14ac:dyDescent="0.3">
      <c r="B21" s="24" t="s">
        <v>14</v>
      </c>
      <c r="C21" s="24"/>
      <c r="D21" s="24"/>
      <c r="E21" s="24"/>
      <c r="F21" s="24"/>
      <c r="G21" s="24"/>
      <c r="H21" s="24"/>
      <c r="I21" s="24"/>
      <c r="J21" s="24"/>
    </row>
    <row r="22" spans="2:12" x14ac:dyDescent="0.3">
      <c r="B22" s="24"/>
      <c r="C22" s="24"/>
      <c r="D22" s="24"/>
      <c r="E22" s="24"/>
      <c r="F22" s="24"/>
      <c r="G22" s="24"/>
      <c r="H22" s="24"/>
      <c r="I22" s="24"/>
      <c r="J22" s="24"/>
    </row>
    <row r="23" spans="2:12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6" spans="2:12" ht="14.15" customHeight="1" x14ac:dyDescent="0.3">
      <c r="B26" s="21" t="s">
        <v>15</v>
      </c>
      <c r="C26" s="21"/>
      <c r="D26" s="21"/>
      <c r="E26" s="21"/>
      <c r="F26" s="21"/>
      <c r="G26" s="21"/>
      <c r="H26" s="21"/>
      <c r="I26" s="21"/>
      <c r="J26" s="21"/>
    </row>
    <row r="27" spans="2:12" ht="14.15" customHeight="1" x14ac:dyDescent="0.3">
      <c r="B27" s="21"/>
      <c r="C27" s="21"/>
      <c r="D27" s="21"/>
      <c r="E27" s="21"/>
      <c r="F27" s="21"/>
      <c r="G27" s="21"/>
      <c r="H27" s="21"/>
      <c r="I27" s="21"/>
      <c r="J27" s="21"/>
    </row>
    <row r="28" spans="2:12" x14ac:dyDescent="0.3">
      <c r="B28" s="21"/>
      <c r="C28" s="21"/>
      <c r="D28" s="21"/>
      <c r="E28" s="21"/>
      <c r="F28" s="21"/>
      <c r="G28" s="21"/>
      <c r="H28" s="21"/>
      <c r="I28" s="21"/>
      <c r="J28" s="21"/>
    </row>
    <row r="29" spans="2:12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C20:E20"/>
    <mergeCell ref="B21:J23"/>
    <mergeCell ref="B26:J27"/>
    <mergeCell ref="B28:J29"/>
    <mergeCell ref="C13:I13"/>
    <mergeCell ref="C14:I14"/>
    <mergeCell ref="C16:J16"/>
    <mergeCell ref="C17:E17"/>
    <mergeCell ref="C18:E18"/>
    <mergeCell ref="C19:E19"/>
    <mergeCell ref="C12:I12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EE31-B35F-4E32-9C89-7AB6DC596AF6}">
  <sheetPr>
    <pageSetUpPr fitToPage="1"/>
  </sheetPr>
  <dimension ref="B2:L34"/>
  <sheetViews>
    <sheetView topLeftCell="A8" zoomScaleNormal="100" workbookViewId="0">
      <selection activeCell="J14" sqref="J1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4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45318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45352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/>
      <c r="C11" s="35" t="s">
        <v>39</v>
      </c>
      <c r="D11" s="35"/>
      <c r="E11" s="35"/>
      <c r="F11" s="5"/>
      <c r="G11" s="12"/>
      <c r="H11" s="4"/>
      <c r="I11" s="13"/>
      <c r="J11" s="6"/>
    </row>
    <row r="12" spans="2:10" ht="33.9" customHeight="1" x14ac:dyDescent="0.3">
      <c r="B12" s="4">
        <v>1</v>
      </c>
      <c r="C12" s="28" t="s">
        <v>40</v>
      </c>
      <c r="D12" s="28"/>
      <c r="E12" s="28"/>
      <c r="F12" s="5">
        <v>1</v>
      </c>
      <c r="G12" s="12">
        <v>10</v>
      </c>
      <c r="H12" s="4" t="s">
        <v>24</v>
      </c>
      <c r="I12" s="13">
        <f>34000*20%</f>
        <v>6800</v>
      </c>
      <c r="J12" s="6">
        <f>F12*I12*G12</f>
        <v>68000</v>
      </c>
    </row>
    <row r="13" spans="2:10" ht="33.9" customHeight="1" x14ac:dyDescent="0.3">
      <c r="B13" s="4"/>
      <c r="C13" s="35" t="s">
        <v>41</v>
      </c>
      <c r="D13" s="35"/>
      <c r="E13" s="35"/>
      <c r="F13" s="5"/>
      <c r="G13" s="12"/>
      <c r="H13" s="4"/>
      <c r="I13" s="13"/>
      <c r="J13" s="6"/>
    </row>
    <row r="14" spans="2:10" ht="33.9" customHeight="1" x14ac:dyDescent="0.3">
      <c r="B14" s="4">
        <v>1</v>
      </c>
      <c r="C14" s="28" t="s">
        <v>42</v>
      </c>
      <c r="D14" s="28"/>
      <c r="E14" s="28"/>
      <c r="F14" s="5">
        <v>1</v>
      </c>
      <c r="G14" s="12">
        <v>4</v>
      </c>
      <c r="H14" s="4" t="s">
        <v>24</v>
      </c>
      <c r="I14" s="13">
        <f>34000*20%</f>
        <v>6800</v>
      </c>
      <c r="J14" s="6">
        <f>F14*I14*G14</f>
        <v>27200</v>
      </c>
    </row>
    <row r="15" spans="2:10" ht="17.399999999999999" customHeight="1" x14ac:dyDescent="0.35">
      <c r="B15" s="17"/>
      <c r="C15" s="25" t="s">
        <v>18</v>
      </c>
      <c r="D15" s="25"/>
      <c r="E15" s="25"/>
      <c r="F15" s="25"/>
      <c r="G15" s="25"/>
      <c r="H15" s="25"/>
      <c r="I15" s="25"/>
      <c r="J15" s="7">
        <f>SUM(J12:J14)</f>
        <v>95200</v>
      </c>
    </row>
    <row r="16" spans="2:10" ht="17.399999999999999" customHeight="1" x14ac:dyDescent="0.35">
      <c r="B16" s="17"/>
      <c r="C16" s="26" t="s">
        <v>23</v>
      </c>
      <c r="D16" s="26"/>
      <c r="E16" s="26"/>
      <c r="F16" s="26"/>
      <c r="G16" s="26"/>
      <c r="H16" s="26"/>
      <c r="I16" s="26"/>
      <c r="J16" s="7">
        <v>0</v>
      </c>
    </row>
    <row r="17" spans="2:12" ht="17.399999999999999" customHeight="1" x14ac:dyDescent="0.35">
      <c r="B17" s="17"/>
      <c r="C17" s="26"/>
      <c r="D17" s="26"/>
      <c r="E17" s="26"/>
      <c r="F17" s="26"/>
      <c r="G17" s="26"/>
      <c r="H17" s="26"/>
      <c r="I17" s="26"/>
      <c r="J17" s="7"/>
    </row>
    <row r="18" spans="2:12" ht="17.399999999999999" customHeight="1" x14ac:dyDescent="0.35">
      <c r="B18" s="17"/>
      <c r="C18" s="14"/>
      <c r="D18" s="14"/>
      <c r="E18" s="14"/>
      <c r="F18" s="14"/>
      <c r="G18" s="14"/>
      <c r="H18" s="14"/>
      <c r="I18" s="14"/>
      <c r="J18" s="7">
        <f>J15+J16+J17</f>
        <v>95200</v>
      </c>
    </row>
    <row r="19" spans="2:12" ht="15.5" x14ac:dyDescent="0.35">
      <c r="B19" s="8"/>
      <c r="C19" s="22" t="s">
        <v>43</v>
      </c>
      <c r="D19" s="22"/>
      <c r="E19" s="22"/>
      <c r="F19" s="22"/>
      <c r="G19" s="22"/>
      <c r="H19" s="22"/>
      <c r="I19" s="22"/>
      <c r="J19" s="22"/>
    </row>
    <row r="20" spans="2:12" ht="15.5" x14ac:dyDescent="0.35">
      <c r="B20" s="17"/>
      <c r="C20" s="23" t="s">
        <v>12</v>
      </c>
      <c r="D20" s="23"/>
      <c r="E20" s="23"/>
      <c r="F20" s="8"/>
      <c r="G20" s="8"/>
      <c r="H20" s="8"/>
      <c r="I20" s="8"/>
      <c r="J20" s="9">
        <v>0</v>
      </c>
    </row>
    <row r="21" spans="2:12" ht="15.5" x14ac:dyDescent="0.35">
      <c r="B21" s="17"/>
      <c r="C21" s="23" t="s">
        <v>20</v>
      </c>
      <c r="D21" s="23"/>
      <c r="E21" s="23"/>
      <c r="F21" s="8"/>
      <c r="G21" s="8"/>
      <c r="H21" s="8"/>
      <c r="I21" s="8"/>
      <c r="J21" s="9">
        <v>0</v>
      </c>
    </row>
    <row r="22" spans="2:12" ht="15.5" x14ac:dyDescent="0.35">
      <c r="B22" s="17"/>
      <c r="C22" s="23" t="s">
        <v>13</v>
      </c>
      <c r="D22" s="23"/>
      <c r="E22" s="23"/>
      <c r="F22" s="8"/>
      <c r="G22" s="8" t="s">
        <v>19</v>
      </c>
      <c r="H22" s="8"/>
      <c r="I22" s="8"/>
      <c r="J22" s="18">
        <f>J18</f>
        <v>95200</v>
      </c>
    </row>
    <row r="23" spans="2:12" ht="15.5" x14ac:dyDescent="0.35">
      <c r="B23" s="8"/>
      <c r="C23" s="23"/>
      <c r="D23" s="23"/>
      <c r="E23" s="23"/>
      <c r="F23" s="8"/>
      <c r="G23" s="8"/>
      <c r="H23" s="8"/>
      <c r="I23" s="8"/>
      <c r="J23" s="8"/>
      <c r="L23" s="11"/>
    </row>
    <row r="24" spans="2:12" x14ac:dyDescent="0.3">
      <c r="B24" s="24" t="s">
        <v>14</v>
      </c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9" spans="2:12" ht="14.15" customHeight="1" x14ac:dyDescent="0.3">
      <c r="B29" s="21" t="s">
        <v>15</v>
      </c>
      <c r="C29" s="21"/>
      <c r="D29" s="21"/>
      <c r="E29" s="21"/>
      <c r="F29" s="21"/>
      <c r="G29" s="21"/>
      <c r="H29" s="21"/>
      <c r="I29" s="21"/>
      <c r="J29" s="21"/>
    </row>
    <row r="30" spans="2:12" ht="14.15" customHeight="1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2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2" x14ac:dyDescent="0.3">
      <c r="B32" s="21"/>
      <c r="C32" s="21"/>
      <c r="D32" s="21"/>
      <c r="E32" s="21"/>
      <c r="F32" s="21"/>
      <c r="G32" s="21"/>
      <c r="H32" s="21"/>
      <c r="I32" s="21"/>
      <c r="J32" s="21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29:J30"/>
    <mergeCell ref="B31:J32"/>
    <mergeCell ref="C12:E12"/>
    <mergeCell ref="C11:E11"/>
    <mergeCell ref="C13:E13"/>
    <mergeCell ref="C19:J19"/>
    <mergeCell ref="C20:E20"/>
    <mergeCell ref="C21:E21"/>
    <mergeCell ref="C22:E22"/>
    <mergeCell ref="C23:E23"/>
    <mergeCell ref="B24:J26"/>
    <mergeCell ref="C17:I17"/>
    <mergeCell ref="B9:J9"/>
    <mergeCell ref="C10:E10"/>
    <mergeCell ref="C14:E14"/>
    <mergeCell ref="C15:I15"/>
    <mergeCell ref="C16:I16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BC26-6E4E-46EB-A1B7-44DEAC56FE6E}">
  <sheetPr>
    <pageSetUpPr fitToPage="1"/>
  </sheetPr>
  <dimension ref="B2:L35"/>
  <sheetViews>
    <sheetView topLeftCell="A7" zoomScaleNormal="100" workbookViewId="0">
      <selection activeCell="C12" sqref="C12:E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5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45451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45444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/>
      <c r="C11" s="35" t="s">
        <v>45</v>
      </c>
      <c r="D11" s="35"/>
      <c r="E11" s="35"/>
      <c r="F11" s="5"/>
      <c r="G11" s="12"/>
      <c r="H11" s="4"/>
      <c r="I11" s="13"/>
      <c r="J11" s="6"/>
    </row>
    <row r="12" spans="2:10" ht="33.9" customHeight="1" x14ac:dyDescent="0.3">
      <c r="B12" s="4">
        <v>1</v>
      </c>
      <c r="C12" s="28" t="s">
        <v>46</v>
      </c>
      <c r="D12" s="28"/>
      <c r="E12" s="28"/>
      <c r="F12" s="5">
        <v>1</v>
      </c>
      <c r="G12" s="12">
        <v>13</v>
      </c>
      <c r="H12" s="4" t="s">
        <v>24</v>
      </c>
      <c r="I12" s="13">
        <f>34000*20%</f>
        <v>6800</v>
      </c>
      <c r="J12" s="6">
        <f>F12*I12*G12</f>
        <v>88400</v>
      </c>
    </row>
    <row r="13" spans="2:10" ht="33.9" customHeight="1" x14ac:dyDescent="0.3">
      <c r="B13" s="4">
        <v>2</v>
      </c>
      <c r="C13" s="28" t="s">
        <v>47</v>
      </c>
      <c r="D13" s="28"/>
      <c r="E13" s="28"/>
      <c r="F13" s="5">
        <v>1</v>
      </c>
      <c r="G13" s="12">
        <v>2</v>
      </c>
      <c r="H13" s="4" t="s">
        <v>24</v>
      </c>
      <c r="I13" s="13">
        <f>34000*20%</f>
        <v>6800</v>
      </c>
      <c r="J13" s="6">
        <f>F13*I13*G13</f>
        <v>13600</v>
      </c>
    </row>
    <row r="14" spans="2:10" ht="33.9" customHeight="1" x14ac:dyDescent="0.3">
      <c r="B14" s="4">
        <v>3</v>
      </c>
      <c r="C14" s="28" t="s">
        <v>48</v>
      </c>
      <c r="D14" s="28"/>
      <c r="E14" s="28"/>
      <c r="F14" s="5">
        <v>1</v>
      </c>
      <c r="G14" s="12">
        <v>12</v>
      </c>
      <c r="H14" s="4" t="s">
        <v>24</v>
      </c>
      <c r="I14" s="13">
        <f>34000*10%</f>
        <v>3400</v>
      </c>
      <c r="J14" s="6">
        <f>G14*I14</f>
        <v>40800</v>
      </c>
    </row>
    <row r="15" spans="2:10" ht="33.9" customHeight="1" x14ac:dyDescent="0.3">
      <c r="B15" s="4">
        <v>4</v>
      </c>
      <c r="C15" s="28" t="s">
        <v>49</v>
      </c>
      <c r="D15" s="28"/>
      <c r="E15" s="28"/>
      <c r="F15" s="5">
        <v>1</v>
      </c>
      <c r="G15" s="12">
        <v>12</v>
      </c>
      <c r="H15" s="4" t="s">
        <v>24</v>
      </c>
      <c r="I15" s="13">
        <f>34000*25%</f>
        <v>8500</v>
      </c>
      <c r="J15" s="6">
        <f>G15*I15</f>
        <v>102000</v>
      </c>
    </row>
    <row r="16" spans="2:10" ht="17.399999999999999" customHeight="1" x14ac:dyDescent="0.35">
      <c r="B16" s="17"/>
      <c r="C16" s="25" t="s">
        <v>18</v>
      </c>
      <c r="D16" s="25"/>
      <c r="E16" s="25"/>
      <c r="F16" s="25"/>
      <c r="G16" s="25"/>
      <c r="H16" s="25"/>
      <c r="I16" s="25"/>
      <c r="J16" s="7">
        <f>SUM(J12:J15)</f>
        <v>244800</v>
      </c>
    </row>
    <row r="17" spans="2:12" ht="17.399999999999999" customHeight="1" x14ac:dyDescent="0.35">
      <c r="B17" s="17"/>
      <c r="C17" s="26" t="s">
        <v>23</v>
      </c>
      <c r="D17" s="26"/>
      <c r="E17" s="26"/>
      <c r="F17" s="26"/>
      <c r="G17" s="26"/>
      <c r="H17" s="26"/>
      <c r="I17" s="26"/>
      <c r="J17" s="7">
        <v>0</v>
      </c>
    </row>
    <row r="18" spans="2:12" ht="17.399999999999999" customHeight="1" x14ac:dyDescent="0.35">
      <c r="B18" s="17"/>
      <c r="C18" s="26"/>
      <c r="D18" s="26"/>
      <c r="E18" s="26"/>
      <c r="F18" s="26"/>
      <c r="G18" s="26"/>
      <c r="H18" s="26"/>
      <c r="I18" s="26"/>
      <c r="J18" s="7"/>
    </row>
    <row r="19" spans="2:12" ht="17.399999999999999" customHeight="1" x14ac:dyDescent="0.35">
      <c r="B19" s="17"/>
      <c r="C19" s="14"/>
      <c r="D19" s="14"/>
      <c r="E19" s="14"/>
      <c r="F19" s="14"/>
      <c r="G19" s="14"/>
      <c r="H19" s="14"/>
      <c r="I19" s="14"/>
      <c r="J19" s="7">
        <f>J16+J17+J18</f>
        <v>244800</v>
      </c>
    </row>
    <row r="20" spans="2:12" ht="15.5" x14ac:dyDescent="0.35">
      <c r="B20" s="8"/>
      <c r="C20" s="22" t="s">
        <v>50</v>
      </c>
      <c r="D20" s="22"/>
      <c r="E20" s="22"/>
      <c r="F20" s="22"/>
      <c r="G20" s="22"/>
      <c r="H20" s="22"/>
      <c r="I20" s="22"/>
      <c r="J20" s="22"/>
    </row>
    <row r="21" spans="2:12" ht="15.5" x14ac:dyDescent="0.35">
      <c r="B21" s="17"/>
      <c r="C21" s="23" t="s">
        <v>12</v>
      </c>
      <c r="D21" s="23"/>
      <c r="E21" s="23"/>
      <c r="F21" s="8"/>
      <c r="G21" s="8"/>
      <c r="H21" s="8"/>
      <c r="I21" s="8"/>
      <c r="J21" s="9">
        <v>0</v>
      </c>
    </row>
    <row r="22" spans="2:12" ht="15.5" x14ac:dyDescent="0.35">
      <c r="B22" s="17"/>
      <c r="C22" s="23" t="s">
        <v>20</v>
      </c>
      <c r="D22" s="23"/>
      <c r="E22" s="23"/>
      <c r="F22" s="8"/>
      <c r="G22" s="8"/>
      <c r="H22" s="8"/>
      <c r="I22" s="8"/>
      <c r="J22" s="9">
        <v>0</v>
      </c>
    </row>
    <row r="23" spans="2:12" ht="15.5" x14ac:dyDescent="0.35">
      <c r="B23" s="17"/>
      <c r="C23" s="23" t="s">
        <v>13</v>
      </c>
      <c r="D23" s="23"/>
      <c r="E23" s="23"/>
      <c r="F23" s="8"/>
      <c r="G23" s="8" t="s">
        <v>19</v>
      </c>
      <c r="H23" s="8"/>
      <c r="I23" s="8"/>
      <c r="J23" s="18">
        <f>J19</f>
        <v>244800</v>
      </c>
    </row>
    <row r="24" spans="2:12" ht="15.5" x14ac:dyDescent="0.35">
      <c r="B24" s="8"/>
      <c r="C24" s="23"/>
      <c r="D24" s="23"/>
      <c r="E24" s="23"/>
      <c r="F24" s="8"/>
      <c r="G24" s="8"/>
      <c r="H24" s="8"/>
      <c r="I24" s="8"/>
      <c r="J24" s="8"/>
      <c r="L24" s="11"/>
    </row>
    <row r="25" spans="2:12" x14ac:dyDescent="0.3">
      <c r="B25" s="24" t="s">
        <v>14</v>
      </c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2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30" spans="2:12" ht="14.15" customHeight="1" x14ac:dyDescent="0.3">
      <c r="B30" s="21" t="s">
        <v>15</v>
      </c>
      <c r="C30" s="21"/>
      <c r="D30" s="21"/>
      <c r="E30" s="21"/>
      <c r="F30" s="21"/>
      <c r="G30" s="21"/>
      <c r="H30" s="21"/>
      <c r="I30" s="21"/>
      <c r="J30" s="21"/>
    </row>
    <row r="31" spans="2:12" ht="14.15" customHeight="1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2" x14ac:dyDescent="0.3">
      <c r="B32" s="21"/>
      <c r="C32" s="21"/>
      <c r="D32" s="21"/>
      <c r="E32" s="21"/>
      <c r="F32" s="21"/>
      <c r="G32" s="21"/>
      <c r="H32" s="21"/>
      <c r="I32" s="21"/>
      <c r="J32" s="21"/>
    </row>
    <row r="33" spans="2:10" x14ac:dyDescent="0.3">
      <c r="B33" s="21"/>
      <c r="C33" s="21"/>
      <c r="D33" s="21"/>
      <c r="E33" s="21"/>
      <c r="F33" s="21"/>
      <c r="G33" s="21"/>
      <c r="H33" s="21"/>
      <c r="I33" s="21"/>
      <c r="J33" s="21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</sheetData>
  <mergeCells count="31">
    <mergeCell ref="C23:E23"/>
    <mergeCell ref="C24:E24"/>
    <mergeCell ref="B25:J27"/>
    <mergeCell ref="B30:J31"/>
    <mergeCell ref="B32:J33"/>
    <mergeCell ref="C21:E21"/>
    <mergeCell ref="C22:E22"/>
    <mergeCell ref="B9:J9"/>
    <mergeCell ref="C10:E10"/>
    <mergeCell ref="C11:E11"/>
    <mergeCell ref="C12:E12"/>
    <mergeCell ref="C13:E13"/>
    <mergeCell ref="C15:E15"/>
    <mergeCell ref="C14:E14"/>
    <mergeCell ref="C16:I16"/>
    <mergeCell ref="C17:I17"/>
    <mergeCell ref="C18:I18"/>
    <mergeCell ref="C20:J20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B885-24C0-4BCC-97E3-AC62F0B68583}">
  <sheetPr>
    <pageSetUpPr fitToPage="1"/>
  </sheetPr>
  <dimension ref="B2:L35"/>
  <sheetViews>
    <sheetView topLeftCell="A7" zoomScaleNormal="100" workbookViewId="0">
      <selection activeCell="J15" sqref="J15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2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45486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45478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/>
      <c r="C11" s="35" t="s">
        <v>45</v>
      </c>
      <c r="D11" s="35"/>
      <c r="E11" s="35"/>
      <c r="F11" s="5"/>
      <c r="G11" s="12"/>
      <c r="H11" s="4"/>
      <c r="I11" s="13"/>
      <c r="J11" s="6"/>
    </row>
    <row r="12" spans="2:10" ht="33.9" customHeight="1" x14ac:dyDescent="0.3">
      <c r="B12" s="4">
        <v>1</v>
      </c>
      <c r="C12" s="28" t="s">
        <v>51</v>
      </c>
      <c r="D12" s="28"/>
      <c r="E12" s="28"/>
      <c r="F12" s="5">
        <v>1</v>
      </c>
      <c r="G12" s="12">
        <v>8</v>
      </c>
      <c r="H12" s="4" t="s">
        <v>24</v>
      </c>
      <c r="I12" s="13">
        <f>34000*20%</f>
        <v>6800</v>
      </c>
      <c r="J12" s="6">
        <f>F12*I12*G12</f>
        <v>54400</v>
      </c>
    </row>
    <row r="13" spans="2:10" ht="33.9" customHeight="1" x14ac:dyDescent="0.3">
      <c r="B13" s="4">
        <v>2</v>
      </c>
      <c r="C13" s="28" t="s">
        <v>52</v>
      </c>
      <c r="D13" s="28"/>
      <c r="E13" s="28"/>
      <c r="F13" s="5">
        <v>1</v>
      </c>
      <c r="G13" s="12">
        <v>12</v>
      </c>
      <c r="H13" s="4" t="s">
        <v>24</v>
      </c>
      <c r="I13" s="13">
        <f>34000*10%</f>
        <v>3400</v>
      </c>
      <c r="J13" s="6">
        <f>G13*I13</f>
        <v>40800</v>
      </c>
    </row>
    <row r="14" spans="2:10" ht="33.9" customHeight="1" x14ac:dyDescent="0.3">
      <c r="B14" s="4">
        <v>3</v>
      </c>
      <c r="C14" s="28" t="s">
        <v>53</v>
      </c>
      <c r="D14" s="28"/>
      <c r="E14" s="28"/>
      <c r="F14" s="5">
        <v>1</v>
      </c>
      <c r="G14" s="12">
        <v>12</v>
      </c>
      <c r="H14" s="4" t="s">
        <v>24</v>
      </c>
      <c r="I14" s="13">
        <f>34000*25%</f>
        <v>8500</v>
      </c>
      <c r="J14" s="6">
        <f>G14*I14</f>
        <v>102000</v>
      </c>
    </row>
    <row r="15" spans="2:10" ht="33.9" customHeight="1" x14ac:dyDescent="0.3">
      <c r="B15" s="4">
        <v>4</v>
      </c>
      <c r="C15" s="28" t="s">
        <v>54</v>
      </c>
      <c r="D15" s="28"/>
      <c r="E15" s="28"/>
      <c r="F15" s="5">
        <v>1</v>
      </c>
      <c r="G15" s="12">
        <v>3</v>
      </c>
      <c r="H15" s="4" t="s">
        <v>55</v>
      </c>
      <c r="I15" s="19">
        <v>29471</v>
      </c>
      <c r="J15" s="6">
        <f>F15*I15*G15</f>
        <v>88413</v>
      </c>
    </row>
    <row r="16" spans="2:10" ht="17.399999999999999" customHeight="1" x14ac:dyDescent="0.35">
      <c r="B16" s="17"/>
      <c r="C16" s="25" t="s">
        <v>18</v>
      </c>
      <c r="D16" s="25"/>
      <c r="E16" s="25"/>
      <c r="F16" s="25"/>
      <c r="G16" s="25"/>
      <c r="H16" s="25"/>
      <c r="I16" s="25"/>
      <c r="J16" s="7">
        <f>SUM(J12:J15)</f>
        <v>285613</v>
      </c>
    </row>
    <row r="17" spans="2:12" ht="17.399999999999999" customHeight="1" x14ac:dyDescent="0.35">
      <c r="B17" s="17"/>
      <c r="C17" s="26" t="s">
        <v>23</v>
      </c>
      <c r="D17" s="26"/>
      <c r="E17" s="26"/>
      <c r="F17" s="26"/>
      <c r="G17" s="26"/>
      <c r="H17" s="26"/>
      <c r="I17" s="26"/>
      <c r="J17" s="7">
        <v>0</v>
      </c>
    </row>
    <row r="18" spans="2:12" ht="17.399999999999999" customHeight="1" x14ac:dyDescent="0.35">
      <c r="B18" s="17"/>
      <c r="C18" s="26"/>
      <c r="D18" s="26"/>
      <c r="E18" s="26"/>
      <c r="F18" s="26"/>
      <c r="G18" s="26"/>
      <c r="H18" s="26"/>
      <c r="I18" s="26"/>
      <c r="J18" s="7"/>
    </row>
    <row r="19" spans="2:12" ht="17.399999999999999" customHeight="1" x14ac:dyDescent="0.35">
      <c r="B19" s="17"/>
      <c r="C19" s="14"/>
      <c r="D19" s="14"/>
      <c r="E19" s="14"/>
      <c r="F19" s="14"/>
      <c r="G19" s="14"/>
      <c r="H19" s="14"/>
      <c r="I19" s="14"/>
      <c r="J19" s="7">
        <f>J16+J17+J18</f>
        <v>285613</v>
      </c>
    </row>
    <row r="20" spans="2:12" ht="15.5" x14ac:dyDescent="0.35">
      <c r="B20" s="8"/>
      <c r="C20" s="22" t="s">
        <v>56</v>
      </c>
      <c r="D20" s="22"/>
      <c r="E20" s="22"/>
      <c r="F20" s="22"/>
      <c r="G20" s="22"/>
      <c r="H20" s="22"/>
      <c r="I20" s="22"/>
      <c r="J20" s="22"/>
    </row>
    <row r="21" spans="2:12" ht="15.5" x14ac:dyDescent="0.35">
      <c r="B21" s="17"/>
      <c r="C21" s="23" t="s">
        <v>12</v>
      </c>
      <c r="D21" s="23"/>
      <c r="E21" s="23"/>
      <c r="F21" s="8"/>
      <c r="G21" s="8"/>
      <c r="H21" s="8"/>
      <c r="I21" s="8"/>
      <c r="J21" s="9">
        <v>0</v>
      </c>
    </row>
    <row r="22" spans="2:12" ht="15.5" x14ac:dyDescent="0.35">
      <c r="B22" s="17"/>
      <c r="C22" s="23" t="s">
        <v>20</v>
      </c>
      <c r="D22" s="23"/>
      <c r="E22" s="23"/>
      <c r="F22" s="8"/>
      <c r="G22" s="8"/>
      <c r="H22" s="8"/>
      <c r="I22" s="8"/>
      <c r="J22" s="9">
        <v>0</v>
      </c>
    </row>
    <row r="23" spans="2:12" ht="15.5" x14ac:dyDescent="0.35">
      <c r="B23" s="17"/>
      <c r="C23" s="23" t="s">
        <v>13</v>
      </c>
      <c r="D23" s="23"/>
      <c r="E23" s="23"/>
      <c r="F23" s="8"/>
      <c r="G23" s="8" t="s">
        <v>19</v>
      </c>
      <c r="H23" s="8"/>
      <c r="I23" s="8"/>
      <c r="J23" s="18">
        <f>J19</f>
        <v>285613</v>
      </c>
    </row>
    <row r="24" spans="2:12" ht="15.5" x14ac:dyDescent="0.35">
      <c r="B24" s="8"/>
      <c r="C24" s="23"/>
      <c r="D24" s="23"/>
      <c r="E24" s="23"/>
      <c r="F24" s="8"/>
      <c r="G24" s="8"/>
      <c r="H24" s="8"/>
      <c r="I24" s="8"/>
      <c r="J24" s="8"/>
      <c r="L24" s="11"/>
    </row>
    <row r="25" spans="2:12" x14ac:dyDescent="0.3">
      <c r="B25" s="24" t="s">
        <v>14</v>
      </c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2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30" spans="2:12" ht="14.15" customHeight="1" x14ac:dyDescent="0.3">
      <c r="B30" s="21" t="s">
        <v>15</v>
      </c>
      <c r="C30" s="21"/>
      <c r="D30" s="21"/>
      <c r="E30" s="21"/>
      <c r="F30" s="21"/>
      <c r="G30" s="21"/>
      <c r="H30" s="21"/>
      <c r="I30" s="21"/>
      <c r="J30" s="21"/>
    </row>
    <row r="31" spans="2:12" ht="14.15" customHeight="1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2" x14ac:dyDescent="0.3">
      <c r="B32" s="21"/>
      <c r="C32" s="21"/>
      <c r="D32" s="21"/>
      <c r="E32" s="21"/>
      <c r="F32" s="21"/>
      <c r="G32" s="21"/>
      <c r="H32" s="21"/>
      <c r="I32" s="21"/>
      <c r="J32" s="21"/>
    </row>
    <row r="33" spans="2:10" x14ac:dyDescent="0.3">
      <c r="B33" s="21"/>
      <c r="C33" s="21"/>
      <c r="D33" s="21"/>
      <c r="E33" s="21"/>
      <c r="F33" s="21"/>
      <c r="G33" s="21"/>
      <c r="H33" s="21"/>
      <c r="I33" s="21"/>
      <c r="J33" s="21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</sheetData>
  <mergeCells count="31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1:E11"/>
    <mergeCell ref="C15:E15"/>
    <mergeCell ref="C12:E12"/>
    <mergeCell ref="C13:E13"/>
    <mergeCell ref="B32:J33"/>
    <mergeCell ref="C14:E14"/>
    <mergeCell ref="C16:I16"/>
    <mergeCell ref="C17:I17"/>
    <mergeCell ref="C18:I18"/>
    <mergeCell ref="C20:J20"/>
    <mergeCell ref="C21:E21"/>
    <mergeCell ref="C22:E22"/>
    <mergeCell ref="C23:E23"/>
    <mergeCell ref="C24:E24"/>
    <mergeCell ref="B25:J27"/>
    <mergeCell ref="B30:J31"/>
  </mergeCells>
  <pageMargins left="0.7" right="0.7" top="0.75" bottom="0.75" header="0.3" footer="0.3"/>
  <pageSetup paperSize="9" scale="7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D706-C599-4199-9925-91D4750609B9}">
  <sheetPr>
    <pageSetUpPr fitToPage="1"/>
  </sheetPr>
  <dimension ref="B2:L35"/>
  <sheetViews>
    <sheetView topLeftCell="A10" zoomScaleNormal="100" workbookViewId="0">
      <selection activeCell="B2" sqref="B2:J3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4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45542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45536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/>
      <c r="C11" s="35" t="s">
        <v>45</v>
      </c>
      <c r="D11" s="35"/>
      <c r="E11" s="35"/>
      <c r="F11" s="5"/>
      <c r="G11" s="12"/>
      <c r="H11" s="4"/>
      <c r="I11" s="13"/>
      <c r="J11" s="6"/>
    </row>
    <row r="12" spans="2:10" ht="33.9" customHeight="1" x14ac:dyDescent="0.3">
      <c r="B12" s="4">
        <v>1</v>
      </c>
      <c r="C12" s="28" t="s">
        <v>57</v>
      </c>
      <c r="D12" s="28"/>
      <c r="E12" s="28"/>
      <c r="F12" s="5">
        <v>1</v>
      </c>
      <c r="G12" s="12">
        <v>1</v>
      </c>
      <c r="H12" s="4" t="s">
        <v>24</v>
      </c>
      <c r="I12" s="13">
        <v>29471</v>
      </c>
      <c r="J12" s="6">
        <f>F12*I12*G12</f>
        <v>29471</v>
      </c>
    </row>
    <row r="13" spans="2:10" ht="33.9" customHeight="1" x14ac:dyDescent="0.3">
      <c r="B13" s="4">
        <v>2</v>
      </c>
      <c r="C13" s="28" t="s">
        <v>58</v>
      </c>
      <c r="D13" s="28"/>
      <c r="E13" s="28"/>
      <c r="F13" s="5">
        <v>1</v>
      </c>
      <c r="G13" s="12">
        <v>3</v>
      </c>
      <c r="H13" s="4" t="s">
        <v>24</v>
      </c>
      <c r="I13" s="13">
        <v>29471</v>
      </c>
      <c r="J13" s="6">
        <f>G13*I13</f>
        <v>88413</v>
      </c>
    </row>
    <row r="14" spans="2:10" ht="33.9" customHeight="1" x14ac:dyDescent="0.3">
      <c r="B14" s="4">
        <v>3</v>
      </c>
      <c r="C14" s="28" t="s">
        <v>60</v>
      </c>
      <c r="D14" s="28"/>
      <c r="E14" s="28"/>
      <c r="F14" s="5">
        <v>1</v>
      </c>
      <c r="G14" s="12">
        <v>1</v>
      </c>
      <c r="H14" s="4" t="s">
        <v>24</v>
      </c>
      <c r="I14" s="13">
        <v>29471</v>
      </c>
      <c r="J14" s="6">
        <f>G14*I14</f>
        <v>29471</v>
      </c>
    </row>
    <row r="15" spans="2:10" ht="33.9" customHeight="1" x14ac:dyDescent="0.3">
      <c r="B15" s="4">
        <v>4</v>
      </c>
      <c r="C15" s="28" t="s">
        <v>59</v>
      </c>
      <c r="D15" s="28"/>
      <c r="E15" s="28"/>
      <c r="F15" s="5">
        <v>1</v>
      </c>
      <c r="G15" s="12">
        <v>1</v>
      </c>
      <c r="H15" s="4" t="s">
        <v>55</v>
      </c>
      <c r="I15" s="19">
        <v>29471</v>
      </c>
      <c r="J15" s="6">
        <f>F15*I15*G15</f>
        <v>29471</v>
      </c>
    </row>
    <row r="16" spans="2:10" ht="17.399999999999999" customHeight="1" x14ac:dyDescent="0.35">
      <c r="B16" s="17"/>
      <c r="C16" s="25" t="s">
        <v>18</v>
      </c>
      <c r="D16" s="25"/>
      <c r="E16" s="25"/>
      <c r="F16" s="25"/>
      <c r="G16" s="25"/>
      <c r="H16" s="25"/>
      <c r="I16" s="25"/>
      <c r="J16" s="7">
        <f>SUM(J12:J15)</f>
        <v>176826</v>
      </c>
    </row>
    <row r="17" spans="2:12" ht="17.399999999999999" customHeight="1" x14ac:dyDescent="0.35">
      <c r="B17" s="17"/>
      <c r="C17" s="26" t="s">
        <v>23</v>
      </c>
      <c r="D17" s="26"/>
      <c r="E17" s="26"/>
      <c r="F17" s="26"/>
      <c r="G17" s="26"/>
      <c r="H17" s="26"/>
      <c r="I17" s="26"/>
      <c r="J17" s="7">
        <v>0</v>
      </c>
    </row>
    <row r="18" spans="2:12" ht="17.399999999999999" customHeight="1" x14ac:dyDescent="0.35">
      <c r="B18" s="17"/>
      <c r="C18" s="26"/>
      <c r="D18" s="26"/>
      <c r="E18" s="26"/>
      <c r="F18" s="26"/>
      <c r="G18" s="26"/>
      <c r="H18" s="26"/>
      <c r="I18" s="26"/>
      <c r="J18" s="7"/>
    </row>
    <row r="19" spans="2:12" ht="17.399999999999999" customHeight="1" x14ac:dyDescent="0.35">
      <c r="B19" s="17"/>
      <c r="C19" s="14"/>
      <c r="D19" s="14"/>
      <c r="E19" s="14"/>
      <c r="F19" s="14"/>
      <c r="G19" s="14"/>
      <c r="H19" s="14"/>
      <c r="I19" s="14"/>
      <c r="J19" s="7">
        <f>J16+J17+J18</f>
        <v>176826</v>
      </c>
    </row>
    <row r="20" spans="2:12" ht="15.5" x14ac:dyDescent="0.35">
      <c r="B20" s="8"/>
      <c r="C20" s="22" t="s">
        <v>61</v>
      </c>
      <c r="D20" s="22"/>
      <c r="E20" s="22"/>
      <c r="F20" s="22"/>
      <c r="G20" s="22"/>
      <c r="H20" s="22"/>
      <c r="I20" s="22"/>
      <c r="J20" s="22"/>
    </row>
    <row r="21" spans="2:12" ht="15.5" x14ac:dyDescent="0.35">
      <c r="B21" s="17"/>
      <c r="C21" s="23" t="s">
        <v>12</v>
      </c>
      <c r="D21" s="23"/>
      <c r="E21" s="23"/>
      <c r="F21" s="8"/>
      <c r="G21" s="8"/>
      <c r="H21" s="8"/>
      <c r="I21" s="8"/>
      <c r="J21" s="9">
        <v>0</v>
      </c>
    </row>
    <row r="22" spans="2:12" ht="15.5" x14ac:dyDescent="0.35">
      <c r="B22" s="17"/>
      <c r="C22" s="23" t="s">
        <v>20</v>
      </c>
      <c r="D22" s="23"/>
      <c r="E22" s="23"/>
      <c r="F22" s="8"/>
      <c r="G22" s="8"/>
      <c r="H22" s="8"/>
      <c r="I22" s="8"/>
      <c r="J22" s="9">
        <v>0</v>
      </c>
    </row>
    <row r="23" spans="2:12" ht="15.5" x14ac:dyDescent="0.35">
      <c r="B23" s="17"/>
      <c r="C23" s="23" t="s">
        <v>13</v>
      </c>
      <c r="D23" s="23"/>
      <c r="E23" s="23"/>
      <c r="F23" s="8"/>
      <c r="G23" s="8" t="s">
        <v>19</v>
      </c>
      <c r="H23" s="8"/>
      <c r="I23" s="8"/>
      <c r="J23" s="18">
        <f>J19</f>
        <v>176826</v>
      </c>
    </row>
    <row r="24" spans="2:12" ht="15.5" x14ac:dyDescent="0.35">
      <c r="B24" s="8"/>
      <c r="C24" s="23"/>
      <c r="D24" s="23"/>
      <c r="E24" s="23"/>
      <c r="F24" s="8"/>
      <c r="G24" s="8"/>
      <c r="H24" s="8"/>
      <c r="I24" s="8"/>
      <c r="J24" s="8"/>
      <c r="L24" s="11"/>
    </row>
    <row r="25" spans="2:12" x14ac:dyDescent="0.3">
      <c r="B25" s="24" t="s">
        <v>14</v>
      </c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2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30" spans="2:12" ht="14.15" customHeight="1" x14ac:dyDescent="0.3">
      <c r="B30" s="21" t="s">
        <v>15</v>
      </c>
      <c r="C30" s="21"/>
      <c r="D30" s="21"/>
      <c r="E30" s="21"/>
      <c r="F30" s="21"/>
      <c r="G30" s="21"/>
      <c r="H30" s="21"/>
      <c r="I30" s="21"/>
      <c r="J30" s="21"/>
    </row>
    <row r="31" spans="2:12" ht="14.15" customHeight="1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2" x14ac:dyDescent="0.3">
      <c r="B32" s="21"/>
      <c r="C32" s="21"/>
      <c r="D32" s="21"/>
      <c r="E32" s="21"/>
      <c r="F32" s="21"/>
      <c r="G32" s="21"/>
      <c r="H32" s="21"/>
      <c r="I32" s="21"/>
      <c r="J32" s="21"/>
    </row>
    <row r="33" spans="2:10" x14ac:dyDescent="0.3">
      <c r="B33" s="21"/>
      <c r="C33" s="21"/>
      <c r="D33" s="21"/>
      <c r="E33" s="21"/>
      <c r="F33" s="21"/>
      <c r="G33" s="21"/>
      <c r="H33" s="21"/>
      <c r="I33" s="21"/>
      <c r="J33" s="21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</sheetData>
  <mergeCells count="31">
    <mergeCell ref="B2:J2"/>
    <mergeCell ref="B4:C4"/>
    <mergeCell ref="D4:G4"/>
    <mergeCell ref="H4:I4"/>
    <mergeCell ref="B5:C5"/>
    <mergeCell ref="D5:J5"/>
    <mergeCell ref="C14:E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32:J33"/>
    <mergeCell ref="C15:E15"/>
    <mergeCell ref="C16:I16"/>
    <mergeCell ref="C17:I17"/>
    <mergeCell ref="C18:I18"/>
    <mergeCell ref="C20:J20"/>
    <mergeCell ref="C21:E21"/>
    <mergeCell ref="C22:E22"/>
    <mergeCell ref="C23:E23"/>
    <mergeCell ref="C24:E24"/>
    <mergeCell ref="B25:J27"/>
    <mergeCell ref="B30:J31"/>
  </mergeCells>
  <pageMargins left="0.7" right="0.7" top="0.75" bottom="0.75" header="0.3" footer="0.3"/>
  <pageSetup paperSize="9" scale="7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1185-6E87-42AD-B239-306CEAC9274D}">
  <sheetPr>
    <pageSetUpPr fitToPage="1"/>
  </sheetPr>
  <dimension ref="B2:L33"/>
  <sheetViews>
    <sheetView topLeftCell="A7" zoomScaleNormal="100" workbookViewId="0">
      <selection activeCell="D7" sqref="D7:G7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5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45542</v>
      </c>
      <c r="J6" s="34"/>
    </row>
    <row r="7" spans="2:10" ht="20.149999999999999" customHeight="1" x14ac:dyDescent="0.3">
      <c r="B7" s="35" t="s">
        <v>3</v>
      </c>
      <c r="C7" s="35"/>
      <c r="D7" s="28" t="s">
        <v>67</v>
      </c>
      <c r="E7" s="28"/>
      <c r="F7" s="28"/>
      <c r="G7" s="28"/>
      <c r="H7" s="3" t="s">
        <v>17</v>
      </c>
      <c r="I7" s="33">
        <v>45536</v>
      </c>
      <c r="J7" s="34"/>
    </row>
    <row r="8" spans="2:10" ht="18.899999999999999" customHeight="1" x14ac:dyDescent="0.3">
      <c r="B8" s="21" t="s">
        <v>5</v>
      </c>
      <c r="C8" s="21"/>
      <c r="D8" s="24" t="s">
        <v>62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/>
      <c r="C11" s="35" t="s">
        <v>63</v>
      </c>
      <c r="D11" s="35"/>
      <c r="E11" s="35"/>
      <c r="F11" s="5"/>
      <c r="G11" s="12"/>
      <c r="H11" s="4"/>
      <c r="I11" s="13"/>
      <c r="J11" s="6"/>
    </row>
    <row r="12" spans="2:10" ht="33.9" customHeight="1" x14ac:dyDescent="0.3">
      <c r="B12" s="4">
        <v>1</v>
      </c>
      <c r="C12" s="28" t="s">
        <v>64</v>
      </c>
      <c r="D12" s="28"/>
      <c r="E12" s="28"/>
      <c r="F12" s="5">
        <v>1</v>
      </c>
      <c r="G12" s="12">
        <v>18</v>
      </c>
      <c r="H12" s="4" t="s">
        <v>24</v>
      </c>
      <c r="I12" s="13">
        <f>34000*20%</f>
        <v>6800</v>
      </c>
      <c r="J12" s="6">
        <f>F12*I12*G12</f>
        <v>122400</v>
      </c>
    </row>
    <row r="13" spans="2:10" ht="33.9" customHeight="1" x14ac:dyDescent="0.3">
      <c r="B13" s="4">
        <v>2</v>
      </c>
      <c r="C13" s="28" t="s">
        <v>65</v>
      </c>
      <c r="D13" s="28"/>
      <c r="E13" s="28"/>
      <c r="F13" s="5">
        <v>1</v>
      </c>
      <c r="G13" s="12">
        <v>2</v>
      </c>
      <c r="H13" s="4" t="s">
        <v>24</v>
      </c>
      <c r="I13" s="13">
        <f>34000*20%</f>
        <v>6800</v>
      </c>
      <c r="J13" s="6">
        <f>G13*I13</f>
        <v>13600</v>
      </c>
    </row>
    <row r="14" spans="2:10" ht="17.399999999999999" customHeight="1" x14ac:dyDescent="0.35">
      <c r="B14" s="17"/>
      <c r="C14" s="25" t="s">
        <v>18</v>
      </c>
      <c r="D14" s="25"/>
      <c r="E14" s="25"/>
      <c r="F14" s="25"/>
      <c r="G14" s="25"/>
      <c r="H14" s="25"/>
      <c r="I14" s="25"/>
      <c r="J14" s="7">
        <f>SUM(J12:J13)</f>
        <v>136000</v>
      </c>
    </row>
    <row r="15" spans="2:10" ht="17.399999999999999" customHeight="1" x14ac:dyDescent="0.35">
      <c r="B15" s="17"/>
      <c r="C15" s="26" t="s">
        <v>23</v>
      </c>
      <c r="D15" s="26"/>
      <c r="E15" s="26"/>
      <c r="F15" s="26"/>
      <c r="G15" s="26"/>
      <c r="H15" s="26"/>
      <c r="I15" s="26"/>
      <c r="J15" s="7">
        <v>0</v>
      </c>
    </row>
    <row r="16" spans="2:10" ht="17.399999999999999" customHeight="1" x14ac:dyDescent="0.35">
      <c r="B16" s="17"/>
      <c r="C16" s="26"/>
      <c r="D16" s="26"/>
      <c r="E16" s="26"/>
      <c r="F16" s="26"/>
      <c r="G16" s="26"/>
      <c r="H16" s="26"/>
      <c r="I16" s="26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136000</v>
      </c>
    </row>
    <row r="18" spans="2:12" ht="15.5" x14ac:dyDescent="0.35">
      <c r="B18" s="8"/>
      <c r="C18" s="22" t="s">
        <v>66</v>
      </c>
      <c r="D18" s="22"/>
      <c r="E18" s="22"/>
      <c r="F18" s="22"/>
      <c r="G18" s="22"/>
      <c r="H18" s="22"/>
      <c r="I18" s="22"/>
      <c r="J18" s="22"/>
    </row>
    <row r="19" spans="2:12" ht="15.5" x14ac:dyDescent="0.35">
      <c r="B19" s="17"/>
      <c r="C19" s="23" t="s">
        <v>12</v>
      </c>
      <c r="D19" s="23"/>
      <c r="E19" s="23"/>
      <c r="F19" s="8"/>
      <c r="G19" s="8"/>
      <c r="H19" s="8"/>
      <c r="I19" s="8"/>
      <c r="J19" s="9">
        <v>0</v>
      </c>
    </row>
    <row r="20" spans="2:12" ht="15.5" x14ac:dyDescent="0.35">
      <c r="B20" s="17"/>
      <c r="C20" s="23" t="s">
        <v>20</v>
      </c>
      <c r="D20" s="23"/>
      <c r="E20" s="23"/>
      <c r="F20" s="8"/>
      <c r="G20" s="8"/>
      <c r="H20" s="8"/>
      <c r="I20" s="8"/>
      <c r="J20" s="9">
        <v>0</v>
      </c>
    </row>
    <row r="21" spans="2:12" ht="15.5" x14ac:dyDescent="0.35">
      <c r="B21" s="17"/>
      <c r="C21" s="23" t="s">
        <v>13</v>
      </c>
      <c r="D21" s="23"/>
      <c r="E21" s="23"/>
      <c r="F21" s="8"/>
      <c r="G21" s="8" t="s">
        <v>19</v>
      </c>
      <c r="H21" s="8"/>
      <c r="I21" s="8"/>
      <c r="J21" s="18">
        <f>J17</f>
        <v>136000</v>
      </c>
    </row>
    <row r="22" spans="2:12" ht="15.5" x14ac:dyDescent="0.35">
      <c r="B22" s="8"/>
      <c r="C22" s="23"/>
      <c r="D22" s="23"/>
      <c r="E22" s="23"/>
      <c r="F22" s="8"/>
      <c r="G22" s="8"/>
      <c r="H22" s="8"/>
      <c r="I22" s="8"/>
      <c r="J22" s="8"/>
      <c r="L22" s="11"/>
    </row>
    <row r="23" spans="2:12" x14ac:dyDescent="0.3">
      <c r="B23" s="24" t="s">
        <v>14</v>
      </c>
      <c r="C23" s="24"/>
      <c r="D23" s="24"/>
      <c r="E23" s="24"/>
      <c r="F23" s="24"/>
      <c r="G23" s="24"/>
      <c r="H23" s="24"/>
      <c r="I23" s="24"/>
      <c r="J23" s="24"/>
    </row>
    <row r="24" spans="2:12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8" spans="2:12" ht="14.15" customHeight="1" x14ac:dyDescent="0.3">
      <c r="B28" s="21" t="s">
        <v>15</v>
      </c>
      <c r="C28" s="21"/>
      <c r="D28" s="21"/>
      <c r="E28" s="21"/>
      <c r="F28" s="21"/>
      <c r="G28" s="21"/>
      <c r="H28" s="21"/>
      <c r="I28" s="21"/>
      <c r="J28" s="21"/>
    </row>
    <row r="29" spans="2:12" ht="14.15" customHeight="1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2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2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1:E11"/>
    <mergeCell ref="C12:E12"/>
    <mergeCell ref="C13:E13"/>
    <mergeCell ref="B30:J31"/>
    <mergeCell ref="C14:I14"/>
    <mergeCell ref="C15:I15"/>
    <mergeCell ref="C16:I16"/>
    <mergeCell ref="C18:J18"/>
    <mergeCell ref="C19:E19"/>
    <mergeCell ref="C20:E20"/>
    <mergeCell ref="C21:E21"/>
    <mergeCell ref="C22:E22"/>
    <mergeCell ref="B23:J25"/>
    <mergeCell ref="B28:J29"/>
  </mergeCells>
  <pageMargins left="0.7" right="0.7" top="0.75" bottom="0.75" header="0.3" footer="0.3"/>
  <pageSetup paperSize="9" scale="7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5CA5-28C3-4245-BFB6-EBF2C99E33EA}">
  <sheetPr>
    <pageSetUpPr fitToPage="1"/>
  </sheetPr>
  <dimension ref="B2:L32"/>
  <sheetViews>
    <sheetView topLeftCell="A11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8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45560</v>
      </c>
      <c r="J6" s="34"/>
    </row>
    <row r="7" spans="2:10" ht="20.149999999999999" customHeight="1" x14ac:dyDescent="0.3">
      <c r="B7" s="35" t="s">
        <v>3</v>
      </c>
      <c r="C7" s="35"/>
      <c r="D7" s="28" t="s">
        <v>67</v>
      </c>
      <c r="E7" s="28"/>
      <c r="F7" s="28"/>
      <c r="G7" s="28"/>
      <c r="H7" s="3" t="s">
        <v>17</v>
      </c>
      <c r="I7" s="33">
        <v>45558</v>
      </c>
      <c r="J7" s="34"/>
    </row>
    <row r="8" spans="2:10" ht="18.899999999999999" customHeight="1" x14ac:dyDescent="0.3">
      <c r="B8" s="21" t="s">
        <v>5</v>
      </c>
      <c r="C8" s="21"/>
      <c r="D8" s="24" t="s">
        <v>62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/>
      <c r="C11" s="35" t="s">
        <v>63</v>
      </c>
      <c r="D11" s="35"/>
      <c r="E11" s="35"/>
      <c r="F11" s="5"/>
      <c r="G11" s="12"/>
      <c r="H11" s="4"/>
      <c r="I11" s="13"/>
      <c r="J11" s="6"/>
    </row>
    <row r="12" spans="2:10" ht="33.9" customHeight="1" x14ac:dyDescent="0.3">
      <c r="B12" s="4">
        <v>1</v>
      </c>
      <c r="C12" s="28" t="s">
        <v>69</v>
      </c>
      <c r="D12" s="28"/>
      <c r="E12" s="28"/>
      <c r="F12" s="5">
        <v>1</v>
      </c>
      <c r="G12" s="12">
        <v>26</v>
      </c>
      <c r="H12" s="4" t="s">
        <v>24</v>
      </c>
      <c r="I12" s="13">
        <f>34000*20%</f>
        <v>6800</v>
      </c>
      <c r="J12" s="6">
        <f>F12*I12*G12</f>
        <v>176800</v>
      </c>
    </row>
    <row r="13" spans="2:10" ht="17.399999999999999" customHeight="1" x14ac:dyDescent="0.35">
      <c r="B13" s="17"/>
      <c r="C13" s="25" t="s">
        <v>18</v>
      </c>
      <c r="D13" s="25"/>
      <c r="E13" s="25"/>
      <c r="F13" s="25"/>
      <c r="G13" s="25"/>
      <c r="H13" s="25"/>
      <c r="I13" s="25"/>
      <c r="J13" s="7">
        <f>SUM(J12:J12)</f>
        <v>176800</v>
      </c>
    </row>
    <row r="14" spans="2:10" ht="17.399999999999999" customHeight="1" x14ac:dyDescent="0.35">
      <c r="B14" s="17"/>
      <c r="C14" s="26" t="s">
        <v>23</v>
      </c>
      <c r="D14" s="26"/>
      <c r="E14" s="26"/>
      <c r="F14" s="26"/>
      <c r="G14" s="26"/>
      <c r="H14" s="26"/>
      <c r="I14" s="26"/>
      <c r="J14" s="7">
        <v>0</v>
      </c>
    </row>
    <row r="15" spans="2:10" ht="17.399999999999999" customHeight="1" x14ac:dyDescent="0.35">
      <c r="B15" s="17"/>
      <c r="C15" s="26"/>
      <c r="D15" s="26"/>
      <c r="E15" s="26"/>
      <c r="F15" s="26"/>
      <c r="G15" s="26"/>
      <c r="H15" s="26"/>
      <c r="I15" s="26"/>
      <c r="J15" s="7"/>
    </row>
    <row r="16" spans="2:10" ht="17.399999999999999" customHeight="1" x14ac:dyDescent="0.35">
      <c r="B16" s="17"/>
      <c r="C16" s="14"/>
      <c r="D16" s="14"/>
      <c r="E16" s="14"/>
      <c r="F16" s="14"/>
      <c r="G16" s="14"/>
      <c r="H16" s="14"/>
      <c r="I16" s="14"/>
      <c r="J16" s="7">
        <f>J13+J14+J15</f>
        <v>176800</v>
      </c>
    </row>
    <row r="17" spans="2:12" ht="15.5" x14ac:dyDescent="0.35">
      <c r="B17" s="8"/>
      <c r="C17" s="22" t="s">
        <v>68</v>
      </c>
      <c r="D17" s="22"/>
      <c r="E17" s="22"/>
      <c r="F17" s="22"/>
      <c r="G17" s="22"/>
      <c r="H17" s="22"/>
      <c r="I17" s="22"/>
      <c r="J17" s="22"/>
    </row>
    <row r="18" spans="2:12" ht="15.5" x14ac:dyDescent="0.35">
      <c r="B18" s="17"/>
      <c r="C18" s="23" t="s">
        <v>12</v>
      </c>
      <c r="D18" s="23"/>
      <c r="E18" s="23"/>
      <c r="F18" s="8"/>
      <c r="G18" s="8"/>
      <c r="H18" s="8"/>
      <c r="I18" s="8"/>
      <c r="J18" s="9">
        <v>0</v>
      </c>
    </row>
    <row r="19" spans="2:12" ht="15.5" x14ac:dyDescent="0.35">
      <c r="B19" s="17"/>
      <c r="C19" s="23" t="s">
        <v>20</v>
      </c>
      <c r="D19" s="23"/>
      <c r="E19" s="23"/>
      <c r="F19" s="8"/>
      <c r="G19" s="8"/>
      <c r="H19" s="8"/>
      <c r="I19" s="8"/>
      <c r="J19" s="9">
        <v>0</v>
      </c>
    </row>
    <row r="20" spans="2:12" ht="15.5" x14ac:dyDescent="0.35">
      <c r="B20" s="17"/>
      <c r="C20" s="23" t="s">
        <v>13</v>
      </c>
      <c r="D20" s="23"/>
      <c r="E20" s="23"/>
      <c r="F20" s="8"/>
      <c r="G20" s="8" t="s">
        <v>19</v>
      </c>
      <c r="H20" s="8"/>
      <c r="I20" s="8"/>
      <c r="J20" s="18">
        <f>J16</f>
        <v>176800</v>
      </c>
    </row>
    <row r="21" spans="2:12" ht="15.5" x14ac:dyDescent="0.35">
      <c r="B21" s="8"/>
      <c r="C21" s="23"/>
      <c r="D21" s="23"/>
      <c r="E21" s="23"/>
      <c r="F21" s="8"/>
      <c r="G21" s="8"/>
      <c r="H21" s="8"/>
      <c r="I21" s="8"/>
      <c r="J21" s="8"/>
      <c r="L21" s="11"/>
    </row>
    <row r="22" spans="2:12" x14ac:dyDescent="0.3">
      <c r="B22" s="24" t="s">
        <v>14</v>
      </c>
      <c r="C22" s="24"/>
      <c r="D22" s="24"/>
      <c r="E22" s="24"/>
      <c r="F22" s="24"/>
      <c r="G22" s="24"/>
      <c r="H22" s="24"/>
      <c r="I22" s="24"/>
      <c r="J22" s="24"/>
    </row>
    <row r="23" spans="2:12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2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7" spans="2:12" ht="14.15" customHeight="1" x14ac:dyDescent="0.3">
      <c r="B27" s="21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2:12" ht="14.15" customHeight="1" x14ac:dyDescent="0.3">
      <c r="B28" s="21"/>
      <c r="C28" s="21"/>
      <c r="D28" s="21"/>
      <c r="E28" s="21"/>
      <c r="F28" s="21"/>
      <c r="G28" s="21"/>
      <c r="H28" s="21"/>
      <c r="I28" s="21"/>
      <c r="J28" s="21"/>
    </row>
    <row r="29" spans="2:12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2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C21:E21"/>
    <mergeCell ref="B22:J24"/>
    <mergeCell ref="B27:J28"/>
    <mergeCell ref="B29:J30"/>
    <mergeCell ref="C14:I14"/>
    <mergeCell ref="C15:I15"/>
    <mergeCell ref="C17:J17"/>
    <mergeCell ref="C18:E18"/>
    <mergeCell ref="C19:E19"/>
    <mergeCell ref="C20:E20"/>
    <mergeCell ref="B9:J9"/>
    <mergeCell ref="C10:E10"/>
    <mergeCell ref="C11:E11"/>
    <mergeCell ref="C12:E12"/>
    <mergeCell ref="C13:I13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B822-9002-44BA-86E0-1C7198C4B2BF}">
  <sheetPr>
    <pageSetUpPr fitToPage="1"/>
  </sheetPr>
  <dimension ref="B2:L32"/>
  <sheetViews>
    <sheetView topLeftCell="A5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10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45560</v>
      </c>
      <c r="J6" s="34"/>
    </row>
    <row r="7" spans="2:10" ht="20.149999999999999" customHeight="1" x14ac:dyDescent="0.3">
      <c r="B7" s="35" t="s">
        <v>3</v>
      </c>
      <c r="C7" s="35"/>
      <c r="D7" s="28" t="s">
        <v>67</v>
      </c>
      <c r="E7" s="28"/>
      <c r="F7" s="28"/>
      <c r="G7" s="28"/>
      <c r="H7" s="3" t="s">
        <v>17</v>
      </c>
      <c r="I7" s="33">
        <v>45560</v>
      </c>
      <c r="J7" s="34"/>
    </row>
    <row r="8" spans="2:10" ht="18.899999999999999" customHeight="1" x14ac:dyDescent="0.3">
      <c r="B8" s="21" t="s">
        <v>5</v>
      </c>
      <c r="C8" s="21"/>
      <c r="D8" s="24" t="s">
        <v>62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28" customHeight="1" x14ac:dyDescent="0.3">
      <c r="B11" s="4"/>
      <c r="C11" s="35" t="s">
        <v>63</v>
      </c>
      <c r="D11" s="35"/>
      <c r="E11" s="35"/>
      <c r="F11" s="5"/>
      <c r="G11" s="12"/>
      <c r="H11" s="4"/>
      <c r="I11" s="13"/>
      <c r="J11" s="6"/>
    </row>
    <row r="12" spans="2:10" ht="29.5" customHeight="1" x14ac:dyDescent="0.3">
      <c r="B12" s="4">
        <v>1</v>
      </c>
      <c r="C12" s="28" t="s">
        <v>70</v>
      </c>
      <c r="D12" s="28"/>
      <c r="E12" s="28"/>
      <c r="F12" s="5">
        <v>1</v>
      </c>
      <c r="G12" s="12">
        <v>23</v>
      </c>
      <c r="H12" s="4" t="s">
        <v>24</v>
      </c>
      <c r="I12" s="13">
        <f>34000*10%</f>
        <v>3400</v>
      </c>
      <c r="J12" s="6">
        <f>F12*I12*G12</f>
        <v>78200</v>
      </c>
    </row>
    <row r="13" spans="2:10" ht="17.399999999999999" customHeight="1" x14ac:dyDescent="0.35">
      <c r="B13" s="17"/>
      <c r="C13" s="25" t="s">
        <v>18</v>
      </c>
      <c r="D13" s="25"/>
      <c r="E13" s="25"/>
      <c r="F13" s="25"/>
      <c r="G13" s="25"/>
      <c r="H13" s="25"/>
      <c r="I13" s="25"/>
      <c r="J13" s="7">
        <f>SUM(J12:J12)</f>
        <v>78200</v>
      </c>
    </row>
    <row r="14" spans="2:10" ht="17.399999999999999" customHeight="1" x14ac:dyDescent="0.35">
      <c r="B14" s="17"/>
      <c r="C14" s="26" t="s">
        <v>23</v>
      </c>
      <c r="D14" s="26"/>
      <c r="E14" s="26"/>
      <c r="F14" s="26"/>
      <c r="G14" s="26"/>
      <c r="H14" s="26"/>
      <c r="I14" s="26"/>
      <c r="J14" s="7">
        <v>0</v>
      </c>
    </row>
    <row r="15" spans="2:10" ht="17.399999999999999" customHeight="1" x14ac:dyDescent="0.35">
      <c r="B15" s="17"/>
      <c r="C15" s="26"/>
      <c r="D15" s="26"/>
      <c r="E15" s="26"/>
      <c r="F15" s="26"/>
      <c r="G15" s="26"/>
      <c r="H15" s="26"/>
      <c r="I15" s="26"/>
      <c r="J15" s="7"/>
    </row>
    <row r="16" spans="2:10" ht="17.399999999999999" customHeight="1" x14ac:dyDescent="0.35">
      <c r="B16" s="17"/>
      <c r="C16" s="14"/>
      <c r="D16" s="14"/>
      <c r="E16" s="14"/>
      <c r="F16" s="14"/>
      <c r="G16" s="14"/>
      <c r="H16" s="14"/>
      <c r="I16" s="14"/>
      <c r="J16" s="7">
        <f>J13+J14+J15</f>
        <v>78200</v>
      </c>
    </row>
    <row r="17" spans="2:12" ht="15.5" x14ac:dyDescent="0.35">
      <c r="B17" s="8"/>
      <c r="C17" s="22" t="s">
        <v>71</v>
      </c>
      <c r="D17" s="22"/>
      <c r="E17" s="22"/>
      <c r="F17" s="22"/>
      <c r="G17" s="22"/>
      <c r="H17" s="22"/>
      <c r="I17" s="22"/>
      <c r="J17" s="22"/>
    </row>
    <row r="18" spans="2:12" ht="15.5" x14ac:dyDescent="0.35">
      <c r="B18" s="17"/>
      <c r="C18" s="23" t="s">
        <v>12</v>
      </c>
      <c r="D18" s="23"/>
      <c r="E18" s="23"/>
      <c r="F18" s="8"/>
      <c r="G18" s="8"/>
      <c r="H18" s="8"/>
      <c r="I18" s="8"/>
      <c r="J18" s="9">
        <v>0</v>
      </c>
    </row>
    <row r="19" spans="2:12" ht="15.5" x14ac:dyDescent="0.35">
      <c r="B19" s="17"/>
      <c r="C19" s="23" t="s">
        <v>20</v>
      </c>
      <c r="D19" s="23"/>
      <c r="E19" s="23"/>
      <c r="F19" s="8"/>
      <c r="G19" s="8"/>
      <c r="H19" s="8"/>
      <c r="I19" s="8"/>
      <c r="J19" s="9">
        <v>0</v>
      </c>
    </row>
    <row r="20" spans="2:12" ht="15.5" x14ac:dyDescent="0.35">
      <c r="B20" s="17"/>
      <c r="C20" s="23" t="s">
        <v>13</v>
      </c>
      <c r="D20" s="23"/>
      <c r="E20" s="23"/>
      <c r="F20" s="8"/>
      <c r="G20" s="8" t="s">
        <v>19</v>
      </c>
      <c r="H20" s="8"/>
      <c r="I20" s="8"/>
      <c r="J20" s="18">
        <f>J16</f>
        <v>78200</v>
      </c>
    </row>
    <row r="21" spans="2:12" ht="15.5" x14ac:dyDescent="0.35">
      <c r="B21" s="8"/>
      <c r="C21" s="23"/>
      <c r="D21" s="23"/>
      <c r="E21" s="23"/>
      <c r="F21" s="8"/>
      <c r="G21" s="8"/>
      <c r="H21" s="8"/>
      <c r="I21" s="8"/>
      <c r="J21" s="8"/>
      <c r="L21" s="11"/>
    </row>
    <row r="22" spans="2:12" x14ac:dyDescent="0.3">
      <c r="B22" s="24" t="s">
        <v>14</v>
      </c>
      <c r="C22" s="24"/>
      <c r="D22" s="24"/>
      <c r="E22" s="24"/>
      <c r="F22" s="24"/>
      <c r="G22" s="24"/>
      <c r="H22" s="24"/>
      <c r="I22" s="24"/>
      <c r="J22" s="24"/>
    </row>
    <row r="23" spans="2:12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2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7" spans="2:12" ht="14.15" customHeight="1" x14ac:dyDescent="0.3">
      <c r="B27" s="21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2:12" ht="14.15" customHeight="1" x14ac:dyDescent="0.3">
      <c r="B28" s="21"/>
      <c r="C28" s="21"/>
      <c r="D28" s="21"/>
      <c r="E28" s="21"/>
      <c r="F28" s="21"/>
      <c r="G28" s="21"/>
      <c r="H28" s="21"/>
      <c r="I28" s="21"/>
      <c r="J28" s="21"/>
    </row>
    <row r="29" spans="2:12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2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I13"/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</mergeCells>
  <pageMargins left="0.7" right="0.7" top="0.75" bottom="0.75" header="0.3" footer="0.3"/>
  <pageSetup paperSize="9" scale="7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6EA2-ADEA-4D0F-B99A-C40B7E7649AC}">
  <sheetPr>
    <pageSetUpPr fitToPage="1"/>
  </sheetPr>
  <dimension ref="B2:M32"/>
  <sheetViews>
    <sheetView topLeftCell="A3" zoomScaleNormal="100" workbookViewId="0">
      <selection activeCell="M19" sqref="M19:M2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3" width="12.36328125" style="1" bestFit="1" customWidth="1"/>
    <col min="14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11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45560</v>
      </c>
      <c r="J6" s="34"/>
    </row>
    <row r="7" spans="2:10" ht="20.149999999999999" customHeight="1" x14ac:dyDescent="0.3">
      <c r="B7" s="35" t="s">
        <v>3</v>
      </c>
      <c r="C7" s="35"/>
      <c r="D7" s="28" t="s">
        <v>67</v>
      </c>
      <c r="E7" s="28"/>
      <c r="F7" s="28"/>
      <c r="G7" s="28"/>
      <c r="H7" s="3" t="s">
        <v>17</v>
      </c>
      <c r="I7" s="33">
        <v>45560</v>
      </c>
      <c r="J7" s="34"/>
    </row>
    <row r="8" spans="2:10" ht="18.899999999999999" customHeight="1" x14ac:dyDescent="0.3">
      <c r="B8" s="21" t="s">
        <v>5</v>
      </c>
      <c r="C8" s="21"/>
      <c r="D8" s="24" t="s">
        <v>62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28" customHeight="1" x14ac:dyDescent="0.3">
      <c r="B11" s="4"/>
      <c r="C11" s="35" t="s">
        <v>63</v>
      </c>
      <c r="D11" s="35"/>
      <c r="E11" s="35"/>
      <c r="F11" s="5"/>
      <c r="G11" s="12"/>
      <c r="H11" s="4"/>
      <c r="I11" s="13"/>
      <c r="J11" s="6"/>
    </row>
    <row r="12" spans="2:10" ht="29.5" customHeight="1" x14ac:dyDescent="0.3">
      <c r="B12" s="4">
        <v>1</v>
      </c>
      <c r="C12" s="28" t="s">
        <v>72</v>
      </c>
      <c r="D12" s="28"/>
      <c r="E12" s="28"/>
      <c r="F12" s="5">
        <v>1</v>
      </c>
      <c r="G12" s="12">
        <v>23</v>
      </c>
      <c r="H12" s="4" t="s">
        <v>24</v>
      </c>
      <c r="I12" s="13">
        <f>34000*25%</f>
        <v>8500</v>
      </c>
      <c r="J12" s="6">
        <f>F12*I12*G12</f>
        <v>195500</v>
      </c>
    </row>
    <row r="13" spans="2:10" ht="17.399999999999999" customHeight="1" x14ac:dyDescent="0.35">
      <c r="B13" s="17"/>
      <c r="C13" s="25" t="s">
        <v>18</v>
      </c>
      <c r="D13" s="25"/>
      <c r="E13" s="25"/>
      <c r="F13" s="25"/>
      <c r="G13" s="25"/>
      <c r="H13" s="25"/>
      <c r="I13" s="25"/>
      <c r="J13" s="7">
        <f>SUM(J12:J12)</f>
        <v>195500</v>
      </c>
    </row>
    <row r="14" spans="2:10" ht="17.399999999999999" customHeight="1" x14ac:dyDescent="0.35">
      <c r="B14" s="17"/>
      <c r="C14" s="26" t="s">
        <v>23</v>
      </c>
      <c r="D14" s="26"/>
      <c r="E14" s="26"/>
      <c r="F14" s="26"/>
      <c r="G14" s="26"/>
      <c r="H14" s="26"/>
      <c r="I14" s="26"/>
      <c r="J14" s="7">
        <v>0</v>
      </c>
    </row>
    <row r="15" spans="2:10" ht="17.399999999999999" customHeight="1" x14ac:dyDescent="0.35">
      <c r="B15" s="17"/>
      <c r="C15" s="26"/>
      <c r="D15" s="26"/>
      <c r="E15" s="26"/>
      <c r="F15" s="26"/>
      <c r="G15" s="26"/>
      <c r="H15" s="26"/>
      <c r="I15" s="26"/>
      <c r="J15" s="7"/>
    </row>
    <row r="16" spans="2:10" ht="17.399999999999999" customHeight="1" x14ac:dyDescent="0.35">
      <c r="B16" s="17"/>
      <c r="C16" s="14"/>
      <c r="D16" s="14"/>
      <c r="E16" s="14"/>
      <c r="F16" s="14"/>
      <c r="G16" s="14"/>
      <c r="H16" s="14"/>
      <c r="I16" s="14"/>
      <c r="J16" s="7">
        <f>J13+J14+J15</f>
        <v>195500</v>
      </c>
    </row>
    <row r="17" spans="2:13" ht="15.5" x14ac:dyDescent="0.35">
      <c r="B17" s="8"/>
      <c r="C17" s="22" t="s">
        <v>73</v>
      </c>
      <c r="D17" s="22"/>
      <c r="E17" s="22"/>
      <c r="F17" s="22"/>
      <c r="G17" s="22"/>
      <c r="H17" s="22"/>
      <c r="I17" s="22"/>
      <c r="J17" s="22"/>
    </row>
    <row r="18" spans="2:13" ht="15.5" x14ac:dyDescent="0.35">
      <c r="B18" s="17"/>
      <c r="C18" s="23" t="s">
        <v>12</v>
      </c>
      <c r="D18" s="23"/>
      <c r="E18" s="23"/>
      <c r="F18" s="8"/>
      <c r="G18" s="8"/>
      <c r="H18" s="8"/>
      <c r="I18" s="8"/>
      <c r="J18" s="9">
        <v>0</v>
      </c>
    </row>
    <row r="19" spans="2:13" ht="15.5" x14ac:dyDescent="0.35">
      <c r="B19" s="17"/>
      <c r="C19" s="23" t="s">
        <v>20</v>
      </c>
      <c r="D19" s="23"/>
      <c r="E19" s="23"/>
      <c r="F19" s="8"/>
      <c r="G19" s="8"/>
      <c r="H19" s="8"/>
      <c r="I19" s="8"/>
      <c r="J19" s="9">
        <v>0</v>
      </c>
      <c r="M19" s="20"/>
    </row>
    <row r="20" spans="2:13" ht="15.5" x14ac:dyDescent="0.35">
      <c r="B20" s="17"/>
      <c r="C20" s="23" t="s">
        <v>13</v>
      </c>
      <c r="D20" s="23"/>
      <c r="E20" s="23"/>
      <c r="F20" s="8"/>
      <c r="G20" s="8" t="s">
        <v>19</v>
      </c>
      <c r="H20" s="8"/>
      <c r="I20" s="8"/>
      <c r="J20" s="18">
        <f>J16</f>
        <v>195500</v>
      </c>
      <c r="M20" s="20"/>
    </row>
    <row r="21" spans="2:13" ht="15.5" x14ac:dyDescent="0.35">
      <c r="B21" s="8"/>
      <c r="C21" s="23"/>
      <c r="D21" s="23"/>
      <c r="E21" s="23"/>
      <c r="F21" s="8"/>
      <c r="G21" s="8"/>
      <c r="H21" s="8"/>
      <c r="I21" s="8"/>
      <c r="J21" s="8"/>
      <c r="L21" s="11"/>
    </row>
    <row r="22" spans="2:13" x14ac:dyDescent="0.3">
      <c r="B22" s="24" t="s">
        <v>14</v>
      </c>
      <c r="C22" s="24"/>
      <c r="D22" s="24"/>
      <c r="E22" s="24"/>
      <c r="F22" s="24"/>
      <c r="G22" s="24"/>
      <c r="H22" s="24"/>
      <c r="I22" s="24"/>
      <c r="J22" s="24"/>
    </row>
    <row r="23" spans="2:13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3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7" spans="2:13" ht="14.15" customHeight="1" x14ac:dyDescent="0.3">
      <c r="B27" s="21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2:13" ht="14.15" customHeight="1" x14ac:dyDescent="0.3">
      <c r="B28" s="21"/>
      <c r="C28" s="21"/>
      <c r="D28" s="21"/>
      <c r="E28" s="21"/>
      <c r="F28" s="21"/>
      <c r="G28" s="21"/>
      <c r="H28" s="21"/>
      <c r="I28" s="21"/>
      <c r="J28" s="21"/>
    </row>
    <row r="29" spans="2:13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3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3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3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I13"/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</mergeCells>
  <pageMargins left="0.7" right="0.7" top="0.75" bottom="0.75" header="0.3" footer="0.3"/>
  <pageSetup paperSize="9" scale="7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694D-008D-4F29-921C-53A38816A06C}">
  <sheetPr>
    <pageSetUpPr fitToPage="1"/>
  </sheetPr>
  <dimension ref="B2:M32"/>
  <sheetViews>
    <sheetView topLeftCell="A5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3" width="12.36328125" style="1" bestFit="1" customWidth="1"/>
    <col min="14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12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45631</v>
      </c>
      <c r="J6" s="34"/>
    </row>
    <row r="7" spans="2:10" ht="20.149999999999999" customHeight="1" x14ac:dyDescent="0.3">
      <c r="B7" s="35" t="s">
        <v>3</v>
      </c>
      <c r="C7" s="35"/>
      <c r="D7" s="28" t="s">
        <v>67</v>
      </c>
      <c r="E7" s="28"/>
      <c r="F7" s="28"/>
      <c r="G7" s="28"/>
      <c r="H7" s="3" t="s">
        <v>17</v>
      </c>
      <c r="I7" s="33">
        <v>45630</v>
      </c>
      <c r="J7" s="34"/>
    </row>
    <row r="8" spans="2:10" ht="18.899999999999999" customHeight="1" x14ac:dyDescent="0.3">
      <c r="B8" s="21" t="s">
        <v>5</v>
      </c>
      <c r="C8" s="21"/>
      <c r="D8" s="24" t="s">
        <v>62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28" customHeight="1" x14ac:dyDescent="0.3">
      <c r="B11" s="4"/>
      <c r="C11" s="35" t="s">
        <v>63</v>
      </c>
      <c r="D11" s="35"/>
      <c r="E11" s="35"/>
      <c r="F11" s="5"/>
      <c r="G11" s="12"/>
      <c r="H11" s="4"/>
      <c r="I11" s="13"/>
      <c r="J11" s="6"/>
    </row>
    <row r="12" spans="2:10" ht="29.5" customHeight="1" x14ac:dyDescent="0.3">
      <c r="B12" s="4">
        <v>1</v>
      </c>
      <c r="C12" s="28" t="s">
        <v>74</v>
      </c>
      <c r="D12" s="28"/>
      <c r="E12" s="28"/>
      <c r="F12" s="5">
        <v>1</v>
      </c>
      <c r="G12" s="12">
        <v>26</v>
      </c>
      <c r="H12" s="4" t="s">
        <v>24</v>
      </c>
      <c r="I12" s="13">
        <f>34000*10%</f>
        <v>3400</v>
      </c>
      <c r="J12" s="6">
        <f>F12*I12*G12</f>
        <v>88400</v>
      </c>
    </row>
    <row r="13" spans="2:10" ht="17.399999999999999" customHeight="1" x14ac:dyDescent="0.35">
      <c r="B13" s="17"/>
      <c r="C13" s="25" t="s">
        <v>18</v>
      </c>
      <c r="D13" s="25"/>
      <c r="E13" s="25"/>
      <c r="F13" s="25"/>
      <c r="G13" s="25"/>
      <c r="H13" s="25"/>
      <c r="I13" s="25"/>
      <c r="J13" s="7">
        <f>SUM(J12:J12)</f>
        <v>88400</v>
      </c>
    </row>
    <row r="14" spans="2:10" ht="17.399999999999999" customHeight="1" x14ac:dyDescent="0.35">
      <c r="B14" s="17"/>
      <c r="C14" s="26" t="s">
        <v>23</v>
      </c>
      <c r="D14" s="26"/>
      <c r="E14" s="26"/>
      <c r="F14" s="26"/>
      <c r="G14" s="26"/>
      <c r="H14" s="26"/>
      <c r="I14" s="26"/>
      <c r="J14" s="7">
        <v>0</v>
      </c>
    </row>
    <row r="15" spans="2:10" ht="17.399999999999999" customHeight="1" x14ac:dyDescent="0.35">
      <c r="B15" s="17"/>
      <c r="C15" s="26"/>
      <c r="D15" s="26"/>
      <c r="E15" s="26"/>
      <c r="F15" s="26"/>
      <c r="G15" s="26"/>
      <c r="H15" s="26"/>
      <c r="I15" s="26"/>
      <c r="J15" s="7"/>
    </row>
    <row r="16" spans="2:10" ht="17.399999999999999" customHeight="1" x14ac:dyDescent="0.35">
      <c r="B16" s="17"/>
      <c r="C16" s="14"/>
      <c r="D16" s="14"/>
      <c r="E16" s="14"/>
      <c r="F16" s="14"/>
      <c r="G16" s="14"/>
      <c r="H16" s="14"/>
      <c r="I16" s="14"/>
      <c r="J16" s="7">
        <f>J13+J14+J15</f>
        <v>88400</v>
      </c>
    </row>
    <row r="17" spans="2:13" ht="15.5" x14ac:dyDescent="0.35">
      <c r="B17" s="8"/>
      <c r="C17" s="22" t="s">
        <v>75</v>
      </c>
      <c r="D17" s="22"/>
      <c r="E17" s="22"/>
      <c r="F17" s="22"/>
      <c r="G17" s="22"/>
      <c r="H17" s="22"/>
      <c r="I17" s="22"/>
      <c r="J17" s="22"/>
    </row>
    <row r="18" spans="2:13" ht="15.5" x14ac:dyDescent="0.35">
      <c r="B18" s="17"/>
      <c r="C18" s="23" t="s">
        <v>12</v>
      </c>
      <c r="D18" s="23"/>
      <c r="E18" s="23"/>
      <c r="F18" s="8"/>
      <c r="G18" s="8"/>
      <c r="H18" s="8"/>
      <c r="I18" s="8"/>
      <c r="J18" s="9">
        <v>0</v>
      </c>
    </row>
    <row r="19" spans="2:13" ht="15.5" x14ac:dyDescent="0.35">
      <c r="B19" s="17"/>
      <c r="C19" s="23" t="s">
        <v>20</v>
      </c>
      <c r="D19" s="23"/>
      <c r="E19" s="23"/>
      <c r="F19" s="8"/>
      <c r="G19" s="8"/>
      <c r="H19" s="8"/>
      <c r="I19" s="8"/>
      <c r="J19" s="9">
        <v>0</v>
      </c>
      <c r="M19" s="20"/>
    </row>
    <row r="20" spans="2:13" ht="15.5" x14ac:dyDescent="0.35">
      <c r="B20" s="17"/>
      <c r="C20" s="23" t="s">
        <v>13</v>
      </c>
      <c r="D20" s="23"/>
      <c r="E20" s="23"/>
      <c r="F20" s="8"/>
      <c r="G20" s="8" t="s">
        <v>19</v>
      </c>
      <c r="H20" s="8"/>
      <c r="I20" s="8"/>
      <c r="J20" s="18">
        <f>J16</f>
        <v>88400</v>
      </c>
      <c r="M20" s="20"/>
    </row>
    <row r="21" spans="2:13" ht="15.5" x14ac:dyDescent="0.35">
      <c r="B21" s="8"/>
      <c r="C21" s="23"/>
      <c r="D21" s="23"/>
      <c r="E21" s="23"/>
      <c r="F21" s="8"/>
      <c r="G21" s="8"/>
      <c r="H21" s="8"/>
      <c r="I21" s="8"/>
      <c r="J21" s="8"/>
      <c r="L21" s="11"/>
    </row>
    <row r="22" spans="2:13" x14ac:dyDescent="0.3">
      <c r="B22" s="24" t="s">
        <v>14</v>
      </c>
      <c r="C22" s="24"/>
      <c r="D22" s="24"/>
      <c r="E22" s="24"/>
      <c r="F22" s="24"/>
      <c r="G22" s="24"/>
      <c r="H22" s="24"/>
      <c r="I22" s="24"/>
      <c r="J22" s="24"/>
    </row>
    <row r="23" spans="2:13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3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7" spans="2:13" ht="14.15" customHeight="1" x14ac:dyDescent="0.3">
      <c r="B27" s="21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2:13" ht="14.15" customHeight="1" x14ac:dyDescent="0.3">
      <c r="B28" s="21"/>
      <c r="C28" s="21"/>
      <c r="D28" s="21"/>
      <c r="E28" s="21"/>
      <c r="F28" s="21"/>
      <c r="G28" s="21"/>
      <c r="H28" s="21"/>
      <c r="I28" s="21"/>
      <c r="J28" s="21"/>
    </row>
    <row r="29" spans="2:13" x14ac:dyDescent="0.3">
      <c r="B29" s="21"/>
      <c r="C29" s="21"/>
      <c r="D29" s="21"/>
      <c r="E29" s="21"/>
      <c r="F29" s="21"/>
      <c r="G29" s="21"/>
      <c r="H29" s="21"/>
      <c r="I29" s="21"/>
      <c r="J29" s="21"/>
    </row>
    <row r="30" spans="2:13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3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3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I13"/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</mergeCells>
  <pageMargins left="0.7" right="0.7" top="0.75" bottom="0.75" header="0.3" footer="0.3"/>
  <pageSetup paperSize="9" scale="70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7F01-E9C0-4B98-9068-0E5FC39721C2}">
  <sheetPr>
    <pageSetUpPr fitToPage="1"/>
  </sheetPr>
  <dimension ref="B2:M34"/>
  <sheetViews>
    <sheetView tabSelected="1" topLeftCell="A8" zoomScaleNormal="100" workbookViewId="0">
      <selection activeCell="C20" sqref="C20:E2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3" width="12.36328125" style="1" bestFit="1" customWidth="1"/>
    <col min="14" max="16384" width="8.6328125" style="1"/>
  </cols>
  <sheetData>
    <row r="2" spans="2:10" ht="17.5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30" t="s">
        <v>16</v>
      </c>
      <c r="C4" s="30"/>
      <c r="D4" s="23" t="s">
        <v>26</v>
      </c>
      <c r="E4" s="23"/>
      <c r="F4" s="23"/>
      <c r="G4" s="23"/>
      <c r="H4" s="31" t="s">
        <v>22</v>
      </c>
      <c r="I4" s="31"/>
      <c r="J4" s="8">
        <v>13</v>
      </c>
    </row>
    <row r="5" spans="2:10" ht="18.899999999999999" customHeight="1" x14ac:dyDescent="0.3">
      <c r="B5" s="21" t="s">
        <v>1</v>
      </c>
      <c r="C5" s="21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32" t="s">
        <v>25</v>
      </c>
      <c r="C6" s="32"/>
      <c r="D6" s="32"/>
      <c r="E6" s="32"/>
      <c r="F6" s="32"/>
      <c r="G6" s="32"/>
      <c r="H6" s="10" t="s">
        <v>2</v>
      </c>
      <c r="I6" s="33">
        <v>45717</v>
      </c>
      <c r="J6" s="34"/>
    </row>
    <row r="7" spans="2:10" ht="20.149999999999999" customHeight="1" x14ac:dyDescent="0.3">
      <c r="B7" s="35" t="s">
        <v>3</v>
      </c>
      <c r="C7" s="35"/>
      <c r="D7" s="28" t="s">
        <v>28</v>
      </c>
      <c r="E7" s="28"/>
      <c r="F7" s="28"/>
      <c r="G7" s="28"/>
      <c r="H7" s="3" t="s">
        <v>17</v>
      </c>
      <c r="I7" s="33">
        <v>45684</v>
      </c>
      <c r="J7" s="34"/>
    </row>
    <row r="8" spans="2:10" ht="18.899999999999999" customHeight="1" x14ac:dyDescent="0.3">
      <c r="B8" s="21" t="s">
        <v>5</v>
      </c>
      <c r="C8" s="21"/>
      <c r="D8" s="24" t="s">
        <v>29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1" t="s">
        <v>4</v>
      </c>
      <c r="C9" s="21"/>
      <c r="D9" s="21"/>
      <c r="E9" s="21"/>
      <c r="F9" s="21"/>
      <c r="G9" s="21"/>
      <c r="H9" s="21"/>
      <c r="I9" s="21"/>
      <c r="J9" s="21"/>
    </row>
    <row r="10" spans="2:10" ht="30" x14ac:dyDescent="0.3">
      <c r="B10" s="2" t="s">
        <v>11</v>
      </c>
      <c r="C10" s="27" t="s">
        <v>6</v>
      </c>
      <c r="D10" s="27"/>
      <c r="E10" s="27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28" customHeight="1" x14ac:dyDescent="0.3">
      <c r="B11" s="4"/>
      <c r="C11" s="35" t="s">
        <v>76</v>
      </c>
      <c r="D11" s="35"/>
      <c r="E11" s="35"/>
      <c r="F11" s="5"/>
      <c r="G11" s="12"/>
      <c r="H11" s="4"/>
      <c r="I11" s="13"/>
      <c r="J11" s="6"/>
    </row>
    <row r="12" spans="2:10" ht="29.5" customHeight="1" x14ac:dyDescent="0.3">
      <c r="B12" s="4">
        <v>1</v>
      </c>
      <c r="C12" s="28" t="s">
        <v>77</v>
      </c>
      <c r="D12" s="28"/>
      <c r="E12" s="28"/>
      <c r="F12" s="5">
        <v>1</v>
      </c>
      <c r="G12" s="12">
        <v>45</v>
      </c>
      <c r="H12" s="4" t="s">
        <v>24</v>
      </c>
      <c r="I12" s="13">
        <f>34000*7.5%</f>
        <v>2550</v>
      </c>
      <c r="J12" s="6">
        <f>F12*I12*G12</f>
        <v>114750</v>
      </c>
    </row>
    <row r="13" spans="2:10" ht="29.5" customHeight="1" x14ac:dyDescent="0.3">
      <c r="B13" s="4">
        <v>2</v>
      </c>
      <c r="C13" s="28" t="s">
        <v>78</v>
      </c>
      <c r="D13" s="28"/>
      <c r="E13" s="28"/>
      <c r="F13" s="5">
        <v>1</v>
      </c>
      <c r="G13" s="12">
        <v>45</v>
      </c>
      <c r="H13" s="4" t="s">
        <v>24</v>
      </c>
      <c r="I13" s="13">
        <f>34000*7.5%</f>
        <v>2550</v>
      </c>
      <c r="J13" s="6">
        <f>F13*I13*G13</f>
        <v>114750</v>
      </c>
    </row>
    <row r="14" spans="2:10" ht="29.5" customHeight="1" x14ac:dyDescent="0.3">
      <c r="B14" s="4">
        <v>3</v>
      </c>
      <c r="C14" s="28" t="s">
        <v>79</v>
      </c>
      <c r="D14" s="28"/>
      <c r="E14" s="28"/>
      <c r="F14" s="5">
        <v>1</v>
      </c>
      <c r="G14" s="12">
        <v>3</v>
      </c>
      <c r="H14" s="4" t="s">
        <v>24</v>
      </c>
      <c r="I14" s="13">
        <f>34000*15%</f>
        <v>5100</v>
      </c>
      <c r="J14" s="6">
        <f>F14*I14*G14</f>
        <v>15300</v>
      </c>
    </row>
    <row r="15" spans="2:10" ht="17.399999999999999" customHeight="1" x14ac:dyDescent="0.35">
      <c r="B15" s="17"/>
      <c r="C15" s="25" t="s">
        <v>18</v>
      </c>
      <c r="D15" s="25"/>
      <c r="E15" s="25"/>
      <c r="F15" s="25"/>
      <c r="G15" s="25"/>
      <c r="H15" s="25"/>
      <c r="I15" s="25"/>
      <c r="J15" s="7">
        <f>SUM(J12:J14)</f>
        <v>244800</v>
      </c>
    </row>
    <row r="16" spans="2:10" ht="17.399999999999999" customHeight="1" x14ac:dyDescent="0.35">
      <c r="B16" s="17"/>
      <c r="C16" s="26" t="s">
        <v>23</v>
      </c>
      <c r="D16" s="26"/>
      <c r="E16" s="26"/>
      <c r="F16" s="26"/>
      <c r="G16" s="26"/>
      <c r="H16" s="26"/>
      <c r="I16" s="26"/>
      <c r="J16" s="7">
        <v>0</v>
      </c>
    </row>
    <row r="17" spans="2:13" ht="17.399999999999999" customHeight="1" x14ac:dyDescent="0.35">
      <c r="B17" s="17"/>
      <c r="C17" s="26"/>
      <c r="D17" s="26"/>
      <c r="E17" s="26"/>
      <c r="F17" s="26"/>
      <c r="G17" s="26"/>
      <c r="H17" s="26"/>
      <c r="I17" s="26"/>
      <c r="J17" s="7"/>
    </row>
    <row r="18" spans="2:13" ht="17.399999999999999" customHeight="1" x14ac:dyDescent="0.35">
      <c r="B18" s="17"/>
      <c r="C18" s="14"/>
      <c r="D18" s="14"/>
      <c r="E18" s="14"/>
      <c r="F18" s="14"/>
      <c r="G18" s="14"/>
      <c r="H18" s="14"/>
      <c r="I18" s="14"/>
      <c r="J18" s="7">
        <f>J15+J16+J17</f>
        <v>244800</v>
      </c>
    </row>
    <row r="19" spans="2:13" ht="15.5" x14ac:dyDescent="0.35">
      <c r="B19" s="8"/>
      <c r="C19" s="22" t="s">
        <v>80</v>
      </c>
      <c r="D19" s="22"/>
      <c r="E19" s="22"/>
      <c r="F19" s="22"/>
      <c r="G19" s="22"/>
      <c r="H19" s="22"/>
      <c r="I19" s="22"/>
      <c r="J19" s="22"/>
    </row>
    <row r="20" spans="2:13" ht="15.5" x14ac:dyDescent="0.35">
      <c r="B20" s="17"/>
      <c r="C20" s="23" t="s">
        <v>12</v>
      </c>
      <c r="D20" s="23"/>
      <c r="E20" s="23"/>
      <c r="F20" s="8"/>
      <c r="G20" s="8"/>
      <c r="H20" s="8"/>
      <c r="I20" s="8"/>
      <c r="J20" s="9">
        <v>0</v>
      </c>
    </row>
    <row r="21" spans="2:13" ht="15.5" x14ac:dyDescent="0.35">
      <c r="B21" s="17"/>
      <c r="C21" s="23" t="s">
        <v>20</v>
      </c>
      <c r="D21" s="23"/>
      <c r="E21" s="23"/>
      <c r="F21" s="8"/>
      <c r="G21" s="8"/>
      <c r="H21" s="8"/>
      <c r="I21" s="8"/>
      <c r="J21" s="9">
        <v>0</v>
      </c>
      <c r="M21" s="20"/>
    </row>
    <row r="22" spans="2:13" ht="15.5" x14ac:dyDescent="0.35">
      <c r="B22" s="17"/>
      <c r="C22" s="23" t="s">
        <v>13</v>
      </c>
      <c r="D22" s="23"/>
      <c r="E22" s="23"/>
      <c r="F22" s="8"/>
      <c r="G22" s="8" t="s">
        <v>19</v>
      </c>
      <c r="H22" s="8"/>
      <c r="I22" s="8"/>
      <c r="J22" s="18">
        <f>J18</f>
        <v>244800</v>
      </c>
      <c r="M22" s="20"/>
    </row>
    <row r="23" spans="2:13" ht="15.5" x14ac:dyDescent="0.35">
      <c r="B23" s="8"/>
      <c r="C23" s="23"/>
      <c r="D23" s="23"/>
      <c r="E23" s="23"/>
      <c r="F23" s="8"/>
      <c r="G23" s="8"/>
      <c r="H23" s="8"/>
      <c r="I23" s="8"/>
      <c r="J23" s="8"/>
      <c r="L23" s="11"/>
    </row>
    <row r="24" spans="2:13" x14ac:dyDescent="0.3">
      <c r="B24" s="24" t="s">
        <v>14</v>
      </c>
      <c r="C24" s="24"/>
      <c r="D24" s="24"/>
      <c r="E24" s="24"/>
      <c r="F24" s="24"/>
      <c r="G24" s="24"/>
      <c r="H24" s="24"/>
      <c r="I24" s="24"/>
      <c r="J24" s="24"/>
    </row>
    <row r="25" spans="2:13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6" spans="2:13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9" spans="2:13" ht="14.15" customHeight="1" x14ac:dyDescent="0.3">
      <c r="B29" s="21" t="s">
        <v>15</v>
      </c>
      <c r="C29" s="21"/>
      <c r="D29" s="21"/>
      <c r="E29" s="21"/>
      <c r="F29" s="21"/>
      <c r="G29" s="21"/>
      <c r="H29" s="21"/>
      <c r="I29" s="21"/>
      <c r="J29" s="21"/>
    </row>
    <row r="30" spans="2:13" ht="14.15" customHeight="1" x14ac:dyDescent="0.3">
      <c r="B30" s="21"/>
      <c r="C30" s="21"/>
      <c r="D30" s="21"/>
      <c r="E30" s="21"/>
      <c r="F30" s="21"/>
      <c r="G30" s="21"/>
      <c r="H30" s="21"/>
      <c r="I30" s="21"/>
      <c r="J30" s="21"/>
    </row>
    <row r="31" spans="2:13" x14ac:dyDescent="0.3">
      <c r="B31" s="21"/>
      <c r="C31" s="21"/>
      <c r="D31" s="21"/>
      <c r="E31" s="21"/>
      <c r="F31" s="21"/>
      <c r="G31" s="21"/>
      <c r="H31" s="21"/>
      <c r="I31" s="21"/>
      <c r="J31" s="21"/>
    </row>
    <row r="32" spans="2:13" x14ac:dyDescent="0.3">
      <c r="B32" s="21"/>
      <c r="C32" s="21"/>
      <c r="D32" s="21"/>
      <c r="E32" s="21"/>
      <c r="F32" s="21"/>
      <c r="G32" s="21"/>
      <c r="H32" s="21"/>
      <c r="I32" s="21"/>
      <c r="J32" s="21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24:J26"/>
    <mergeCell ref="B29:J30"/>
    <mergeCell ref="B31:J32"/>
    <mergeCell ref="C12:E12"/>
    <mergeCell ref="C13:E13"/>
    <mergeCell ref="C17:I17"/>
    <mergeCell ref="C19:J19"/>
    <mergeCell ref="C20:E20"/>
    <mergeCell ref="C21:E21"/>
    <mergeCell ref="C22:E22"/>
    <mergeCell ref="C23:E23"/>
    <mergeCell ref="B9:J9"/>
    <mergeCell ref="C10:E10"/>
    <mergeCell ref="C11:E11"/>
    <mergeCell ref="C14:E14"/>
    <mergeCell ref="C15:I15"/>
    <mergeCell ref="C16:I16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2024-12-05T14:02:56Z</cp:lastPrinted>
  <dcterms:created xsi:type="dcterms:W3CDTF">2017-06-28T08:31:23Z</dcterms:created>
  <dcterms:modified xsi:type="dcterms:W3CDTF">2025-03-01T09:13:31Z</dcterms:modified>
</cp:coreProperties>
</file>