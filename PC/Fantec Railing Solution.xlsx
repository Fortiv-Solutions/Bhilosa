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1784D7C4-787D-4AAA-876D-0B288A78564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" sheetId="26" r:id="rId1"/>
    <sheet name="2" sheetId="2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7" l="1"/>
  <c r="J12" i="27"/>
  <c r="J18" i="26"/>
  <c r="J16" i="26"/>
  <c r="J15" i="26"/>
  <c r="J14" i="27" l="1"/>
  <c r="J16" i="27"/>
  <c r="J18" i="27" s="1"/>
  <c r="J22" i="27" s="1"/>
  <c r="J15" i="27"/>
  <c r="J13" i="26"/>
  <c r="J12" i="26"/>
  <c r="J14" i="26" s="1"/>
  <c r="J22" i="26" l="1"/>
</calcChain>
</file>

<file path=xl/sharedStrings.xml><?xml version="1.0" encoding="utf-8"?>
<sst xmlns="http://schemas.openxmlformats.org/spreadsheetml/2006/main" count="72" uniqueCount="37">
  <si>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</si>
  <si>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</si>
  <si>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</si>
  <si>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</si>
  <si>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</si>
  <si>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</si>
  <si>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</si>
  <si>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</si>
  <si>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</si>
  <si>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</si>
  <si>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</si>
  <si>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</si>
  <si>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</si>
  <si>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</si>
  <si>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</si>
  <si>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</si>
  <si>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</si>
  <si>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</si>
  <si>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</si>
  <si>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</si>
  <si>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</si>
  <si>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Invoice No.</t>
  </si>
  <si>
    <t>R.ft.</t>
  </si>
  <si>
    <t>To, 
Tanvi Infracon - Pramukh Revanta Project</t>
  </si>
  <si>
    <t>Sq.ft.</t>
  </si>
  <si>
    <t>Rate</t>
  </si>
  <si>
    <t>Fantec Railing Solution</t>
  </si>
  <si>
    <t>Rajbhai</t>
  </si>
  <si>
    <t>Glass Railing Installation and Material cost</t>
  </si>
  <si>
    <t>D &amp; E Building</t>
  </si>
  <si>
    <t xml:space="preserve">Aluminium Railing Profile </t>
  </si>
  <si>
    <t>12mm Clear Toughened Glass</t>
  </si>
  <si>
    <t>CGST @ 9%</t>
  </si>
  <si>
    <t>SGST @ 9%</t>
  </si>
  <si>
    <t>Sixteen Lakh One Thousand Twenty Four Only</t>
  </si>
  <si>
    <t>C Building</t>
  </si>
  <si>
    <t>Twenty Lakh Fifty One Thousand Three Hundred Twelve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</si>
</sst>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/>
    <xf numFmtId="165" fontId="5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2" fillId="0" borderId="0" xfId="0" applyNumberFormat="1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4"/>
  <sheetViews>
    <sheetView topLeftCell="A7" zoomScaleNormal="100" workbookViewId="0">
      <selection activeCell="J18" sqref="J18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1:10" ht="17.5" x14ac:dyDescent="0.35">
      <c r="B2" s="24" t="s">
        <v>0</v>
      </c>
      <c r="C2" s="24"/>
      <c r="D2" s="24"/>
      <c r="E2" s="24"/>
      <c r="F2" s="24"/>
      <c r="G2" s="24"/>
      <c r="H2" s="24"/>
      <c r="I2" s="24"/>
      <c r="J2" s="24"/>
    </row>
    <row r="3" spans="1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1:10" ht="15.65" customHeight="1" x14ac:dyDescent="0.35">
      <c r="B4" s="25" t="s">
        <v>16</v>
      </c>
      <c r="C4" s="25"/>
      <c r="D4" s="26" t="s">
        <v>26</v>
      </c>
      <c r="E4" s="26"/>
      <c r="F4" s="26"/>
      <c r="G4" s="26"/>
      <c r="H4" s="27" t="s">
        <v>21</v>
      </c>
      <c r="I4" s="27"/>
      <c r="J4" s="8">
        <v>39</v>
      </c>
    </row>
    <row r="5" spans="1:10" ht="18.899999999999999" customHeight="1" x14ac:dyDescent="0.3">
      <c r="B5" s="22" t="s">
        <v>1</v>
      </c>
      <c r="C5" s="22"/>
      <c r="D5" s="23" t="s">
        <v>27</v>
      </c>
      <c r="E5" s="23"/>
      <c r="F5" s="23"/>
      <c r="G5" s="23"/>
      <c r="H5" s="23"/>
      <c r="I5" s="23"/>
      <c r="J5" s="23"/>
    </row>
    <row r="6" spans="1:10" ht="30.9" customHeight="1" x14ac:dyDescent="0.35">
      <c r="B6" s="28" t="s">
        <v>23</v>
      </c>
      <c r="C6" s="28"/>
      <c r="D6" s="28"/>
      <c r="E6" s="28"/>
      <c r="F6" s="28"/>
      <c r="G6" s="28"/>
      <c r="H6" s="10" t="s">
        <v>2</v>
      </c>
      <c r="I6" s="29">
        <v>45556</v>
      </c>
      <c r="J6" s="30"/>
    </row>
    <row r="7" spans="1:10" ht="20.149999999999999" customHeight="1" x14ac:dyDescent="0.3">
      <c r="B7" s="31" t="s">
        <v>3</v>
      </c>
      <c r="C7" s="31"/>
      <c r="D7" s="32" t="s">
        <v>28</v>
      </c>
      <c r="E7" s="32"/>
      <c r="F7" s="32"/>
      <c r="G7" s="32"/>
      <c r="H7" s="3" t="s">
        <v>17</v>
      </c>
      <c r="I7" s="29">
        <v>45556</v>
      </c>
      <c r="J7" s="30"/>
    </row>
    <row r="8" spans="1:10" ht="18.899999999999999" customHeight="1" x14ac:dyDescent="0.3">
      <c r="B8" s="22" t="s">
        <v>5</v>
      </c>
      <c r="C8" s="22"/>
      <c r="D8" s="23" t="s">
        <v>28</v>
      </c>
      <c r="E8" s="23"/>
      <c r="F8" s="23"/>
      <c r="G8" s="23"/>
      <c r="H8" s="23"/>
      <c r="I8" s="23"/>
      <c r="J8" s="23"/>
    </row>
    <row r="9" spans="1:10" ht="20.399999999999999" customHeight="1" x14ac:dyDescent="0.3">
      <c r="B9" s="22" t="s">
        <v>4</v>
      </c>
      <c r="C9" s="22"/>
      <c r="D9" s="22"/>
      <c r="E9" s="22"/>
      <c r="F9" s="22"/>
      <c r="G9" s="22"/>
      <c r="H9" s="22"/>
      <c r="I9" s="22"/>
      <c r="J9" s="22"/>
    </row>
    <row r="10" spans="1:10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5" t="s">
        <v>8</v>
      </c>
      <c r="H10" s="15" t="s">
        <v>9</v>
      </c>
      <c r="I10" s="2" t="s">
        <v>25</v>
      </c>
      <c r="J10" s="14" t="s">
        <v>10</v>
      </c>
    </row>
    <row r="11" spans="1:10" ht="15.5" x14ac:dyDescent="0.3">
      <c r="B11" s="4"/>
      <c r="C11" s="31" t="s">
        <v>29</v>
      </c>
      <c r="D11" s="31"/>
      <c r="E11" s="31"/>
      <c r="F11" s="5"/>
      <c r="G11" s="12"/>
      <c r="H11" s="4"/>
      <c r="I11" s="13"/>
      <c r="J11" s="6"/>
    </row>
    <row r="12" spans="1:10" ht="15.5" x14ac:dyDescent="0.3">
      <c r="B12" s="4">
        <v>1</v>
      </c>
      <c r="C12" s="32" t="s">
        <v>30</v>
      </c>
      <c r="D12" s="32"/>
      <c r="E12" s="32"/>
      <c r="F12" s="5">
        <v>1</v>
      </c>
      <c r="G12" s="12">
        <v>1280</v>
      </c>
      <c r="H12" s="4" t="s">
        <v>22</v>
      </c>
      <c r="I12" s="13">
        <v>520</v>
      </c>
      <c r="J12" s="20">
        <f>G12*I12</f>
        <v>665600</v>
      </c>
    </row>
    <row r="13" spans="1:10" ht="15.5" x14ac:dyDescent="0.3">
      <c r="B13" s="4">
        <v>2</v>
      </c>
      <c r="C13" s="32" t="s">
        <v>31</v>
      </c>
      <c r="D13" s="32"/>
      <c r="E13" s="32"/>
      <c r="F13" s="5">
        <v>1</v>
      </c>
      <c r="G13" s="12">
        <v>5120</v>
      </c>
      <c r="H13" s="4" t="s">
        <v>24</v>
      </c>
      <c r="I13" s="13">
        <v>135</v>
      </c>
      <c r="J13" s="20">
        <f>G13*I13</f>
        <v>691200</v>
      </c>
    </row>
    <row r="14" spans="1:10" ht="17.399999999999999" customHeight="1" x14ac:dyDescent="0.35">
      <c r="A14" s="8"/>
      <c r="B14" s="17"/>
      <c r="C14" s="35" t="s">
        <v>18</v>
      </c>
      <c r="D14" s="35"/>
      <c r="E14" s="35"/>
      <c r="F14" s="35"/>
      <c r="G14" s="35"/>
      <c r="H14" s="35"/>
      <c r="I14" s="35"/>
      <c r="J14" s="19">
        <f>SUM(J11:J13)</f>
        <v>1356800</v>
      </c>
    </row>
    <row r="15" spans="1:10" ht="17.399999999999999" customHeight="1" x14ac:dyDescent="0.35">
      <c r="B15" s="17"/>
      <c r="C15" s="33" t="s">
        <v>32</v>
      </c>
      <c r="D15" s="33"/>
      <c r="E15" s="33"/>
      <c r="F15" s="33"/>
      <c r="G15" s="33"/>
      <c r="H15" s="33"/>
      <c r="I15" s="33"/>
      <c r="J15" s="7">
        <f>J14*9%</f>
        <v>122112</v>
      </c>
    </row>
    <row r="16" spans="1:10" ht="17.399999999999999" customHeight="1" x14ac:dyDescent="0.35">
      <c r="B16" s="17"/>
      <c r="C16" s="33" t="s">
        <v>33</v>
      </c>
      <c r="D16" s="33"/>
      <c r="E16" s="33"/>
      <c r="F16" s="33"/>
      <c r="G16" s="33"/>
      <c r="H16" s="33"/>
      <c r="I16" s="33"/>
      <c r="J16" s="7">
        <f>J14*9%</f>
        <v>122112</v>
      </c>
    </row>
    <row r="17" spans="2:12" ht="17.399999999999999" customHeight="1" x14ac:dyDescent="0.35">
      <c r="B17" s="17"/>
      <c r="C17" s="33"/>
      <c r="D17" s="33"/>
      <c r="E17" s="33"/>
      <c r="F17" s="33"/>
      <c r="G17" s="33"/>
      <c r="H17" s="33"/>
      <c r="I17" s="33"/>
      <c r="J17" s="7"/>
    </row>
    <row r="18" spans="2:12" ht="17.399999999999999" customHeight="1" x14ac:dyDescent="0.35">
      <c r="B18" s="17"/>
      <c r="C18" s="14"/>
      <c r="D18" s="14"/>
      <c r="E18" s="14"/>
      <c r="F18" s="14"/>
      <c r="G18" s="14"/>
      <c r="H18" s="14"/>
      <c r="I18" s="14"/>
      <c r="J18" s="19">
        <f>J14+J16+J17+J15</f>
        <v>1601024</v>
      </c>
    </row>
    <row r="19" spans="2:12" ht="15.5" x14ac:dyDescent="0.35">
      <c r="B19" s="8"/>
      <c r="C19" s="36" t="s">
        <v>34</v>
      </c>
      <c r="D19" s="36"/>
      <c r="E19" s="36"/>
      <c r="F19" s="36"/>
      <c r="G19" s="36"/>
      <c r="H19" s="36"/>
      <c r="I19" s="36"/>
      <c r="J19" s="36"/>
    </row>
    <row r="20" spans="2:12" ht="15.5" x14ac:dyDescent="0.35">
      <c r="B20" s="17"/>
      <c r="C20" s="26" t="s">
        <v>12</v>
      </c>
      <c r="D20" s="26"/>
      <c r="E20" s="26"/>
      <c r="F20" s="8"/>
      <c r="G20" s="8"/>
      <c r="H20" s="8"/>
      <c r="I20" s="8"/>
      <c r="J20" s="9">
        <v>0</v>
      </c>
    </row>
    <row r="21" spans="2:12" ht="15.5" x14ac:dyDescent="0.35">
      <c r="B21" s="17"/>
      <c r="C21" s="26" t="s">
        <v>20</v>
      </c>
      <c r="D21" s="26"/>
      <c r="E21" s="26"/>
      <c r="F21" s="8"/>
      <c r="G21" s="8"/>
      <c r="H21" s="8"/>
      <c r="I21" s="8"/>
      <c r="J21" s="9">
        <v>0</v>
      </c>
    </row>
    <row r="22" spans="2:12" ht="15.5" x14ac:dyDescent="0.35">
      <c r="B22" s="17"/>
      <c r="C22" s="26" t="s">
        <v>13</v>
      </c>
      <c r="D22" s="26"/>
      <c r="E22" s="26"/>
      <c r="F22" s="8"/>
      <c r="G22" s="8" t="s">
        <v>19</v>
      </c>
      <c r="H22" s="8"/>
      <c r="I22" s="8"/>
      <c r="J22" s="18">
        <f>J18</f>
        <v>1601024</v>
      </c>
    </row>
    <row r="23" spans="2:12" ht="15.5" x14ac:dyDescent="0.35">
      <c r="B23" s="8"/>
      <c r="C23" s="26"/>
      <c r="D23" s="26"/>
      <c r="E23" s="26"/>
      <c r="F23" s="8"/>
      <c r="G23" s="8"/>
      <c r="H23" s="8"/>
      <c r="I23" s="8"/>
      <c r="J23" s="8"/>
      <c r="L23" s="11"/>
    </row>
    <row r="24" spans="2:12" x14ac:dyDescent="0.3">
      <c r="B24" s="23" t="s">
        <v>14</v>
      </c>
      <c r="C24" s="23"/>
      <c r="D24" s="23"/>
      <c r="E24" s="23"/>
      <c r="F24" s="23"/>
      <c r="G24" s="23"/>
      <c r="H24" s="23"/>
      <c r="I24" s="23"/>
      <c r="J24" s="23"/>
    </row>
    <row r="25" spans="2:12" x14ac:dyDescent="0.3">
      <c r="B25" s="23"/>
      <c r="C25" s="23"/>
      <c r="D25" s="23"/>
      <c r="E25" s="23"/>
      <c r="F25" s="23"/>
      <c r="G25" s="23"/>
      <c r="H25" s="23"/>
      <c r="I25" s="23"/>
      <c r="J25" s="23"/>
    </row>
    <row r="26" spans="2:12" x14ac:dyDescent="0.3">
      <c r="B26" s="23"/>
      <c r="C26" s="23"/>
      <c r="D26" s="23"/>
      <c r="E26" s="23"/>
      <c r="F26" s="23"/>
      <c r="G26" s="23"/>
      <c r="H26" s="23"/>
      <c r="I26" s="23"/>
      <c r="J26" s="23"/>
    </row>
    <row r="29" spans="2:12" ht="14.15" customHeight="1" x14ac:dyDescent="0.3">
      <c r="B29" s="22" t="s">
        <v>15</v>
      </c>
      <c r="C29" s="22"/>
      <c r="D29" s="22"/>
      <c r="E29" s="22"/>
      <c r="F29" s="22"/>
      <c r="G29" s="22"/>
      <c r="H29" s="22"/>
      <c r="I29" s="22"/>
      <c r="J29" s="22"/>
    </row>
    <row r="30" spans="2:12" ht="14.15" customHeight="1" x14ac:dyDescent="0.3">
      <c r="B30" s="22"/>
      <c r="C30" s="22"/>
      <c r="D30" s="22"/>
      <c r="E30" s="22"/>
      <c r="F30" s="22"/>
      <c r="G30" s="22"/>
      <c r="H30" s="22"/>
      <c r="I30" s="22"/>
      <c r="J30" s="22"/>
    </row>
    <row r="31" spans="2:12" x14ac:dyDescent="0.3">
      <c r="B31" s="22"/>
      <c r="C31" s="22"/>
      <c r="D31" s="22"/>
      <c r="E31" s="22"/>
      <c r="F31" s="22"/>
      <c r="G31" s="22"/>
      <c r="H31" s="22"/>
      <c r="I31" s="22"/>
      <c r="J31" s="22"/>
    </row>
    <row r="32" spans="2:12" x14ac:dyDescent="0.3">
      <c r="B32" s="22"/>
      <c r="C32" s="22"/>
      <c r="D32" s="22"/>
      <c r="E32" s="22"/>
      <c r="F32" s="22"/>
      <c r="G32" s="22"/>
      <c r="H32" s="22"/>
      <c r="I32" s="22"/>
      <c r="J32" s="22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</sheetData>
  <mergeCells count="30">
    <mergeCell ref="B29:J30"/>
    <mergeCell ref="B31:J32"/>
    <mergeCell ref="C19:J19"/>
    <mergeCell ref="C20:E20"/>
    <mergeCell ref="C21:E21"/>
    <mergeCell ref="C22:E22"/>
    <mergeCell ref="C23:E23"/>
    <mergeCell ref="B24:J26"/>
    <mergeCell ref="C16:I16"/>
    <mergeCell ref="C17:I17"/>
    <mergeCell ref="B9:J9"/>
    <mergeCell ref="C10:E10"/>
    <mergeCell ref="C11:E11"/>
    <mergeCell ref="C12:E12"/>
    <mergeCell ref="C13:E13"/>
    <mergeCell ref="C15:I15"/>
    <mergeCell ref="C14:I14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296E-608E-418C-A7BD-D56CA1000BE5}">
  <sheetPr>
    <pageSetUpPr fitToPage="1"/>
  </sheetPr>
  <dimension ref="A2:L34"/>
  <sheetViews>
    <sheetView tabSelected="1" topLeftCell="A7" zoomScaleNormal="100" workbookViewId="0">
      <selection activeCell="L18" sqref="L18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1:10" ht="17.5" x14ac:dyDescent="0.35">
      <c r="B2" s="24" t="s">
        <v>0</v>
      </c>
      <c r="C2" s="24"/>
      <c r="D2" s="24"/>
      <c r="E2" s="24"/>
      <c r="F2" s="24"/>
      <c r="G2" s="24"/>
      <c r="H2" s="24"/>
      <c r="I2" s="24"/>
      <c r="J2" s="24"/>
    </row>
    <row r="3" spans="1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1:10" ht="15.65" customHeight="1" x14ac:dyDescent="0.35">
      <c r="B4" s="25" t="s">
        <v>16</v>
      </c>
      <c r="C4" s="25"/>
      <c r="D4" s="26" t="s">
        <v>26</v>
      </c>
      <c r="E4" s="26"/>
      <c r="F4" s="26"/>
      <c r="G4" s="26"/>
      <c r="H4" s="27" t="s">
        <v>21</v>
      </c>
      <c r="I4" s="27"/>
      <c r="J4" s="8">
        <v>52</v>
      </c>
    </row>
    <row r="5" spans="1:10" ht="18.899999999999999" customHeight="1" x14ac:dyDescent="0.3">
      <c r="B5" s="22" t="s">
        <v>1</v>
      </c>
      <c r="C5" s="22"/>
      <c r="D5" s="23" t="s">
        <v>27</v>
      </c>
      <c r="E5" s="23"/>
      <c r="F5" s="23"/>
      <c r="G5" s="23"/>
      <c r="H5" s="23"/>
      <c r="I5" s="23"/>
      <c r="J5" s="23"/>
    </row>
    <row r="6" spans="1:10" ht="30.9" customHeight="1" x14ac:dyDescent="0.35">
      <c r="B6" s="28" t="s">
        <v>23</v>
      </c>
      <c r="C6" s="28"/>
      <c r="D6" s="28"/>
      <c r="E6" s="28"/>
      <c r="F6" s="28"/>
      <c r="G6" s="28"/>
      <c r="H6" s="10" t="s">
        <v>2</v>
      </c>
      <c r="I6" s="29">
        <v>45619</v>
      </c>
      <c r="J6" s="30"/>
    </row>
    <row r="7" spans="1:10" ht="20.149999999999999" customHeight="1" x14ac:dyDescent="0.3">
      <c r="B7" s="31" t="s">
        <v>3</v>
      </c>
      <c r="C7" s="31"/>
      <c r="D7" s="32" t="s">
        <v>28</v>
      </c>
      <c r="E7" s="32"/>
      <c r="F7" s="32"/>
      <c r="G7" s="32"/>
      <c r="H7" s="3" t="s">
        <v>17</v>
      </c>
      <c r="I7" s="29">
        <v>45611</v>
      </c>
      <c r="J7" s="30"/>
    </row>
    <row r="8" spans="1:10" ht="18.899999999999999" customHeight="1" x14ac:dyDescent="0.3">
      <c r="B8" s="22" t="s">
        <v>5</v>
      </c>
      <c r="C8" s="22"/>
      <c r="D8" s="23" t="s">
        <v>28</v>
      </c>
      <c r="E8" s="23"/>
      <c r="F8" s="23"/>
      <c r="G8" s="23"/>
      <c r="H8" s="23"/>
      <c r="I8" s="23"/>
      <c r="J8" s="23"/>
    </row>
    <row r="9" spans="1:10" ht="20.399999999999999" customHeight="1" x14ac:dyDescent="0.3">
      <c r="B9" s="22" t="s">
        <v>4</v>
      </c>
      <c r="C9" s="22"/>
      <c r="D9" s="22"/>
      <c r="E9" s="22"/>
      <c r="F9" s="22"/>
      <c r="G9" s="22"/>
      <c r="H9" s="22"/>
      <c r="I9" s="22"/>
      <c r="J9" s="22"/>
    </row>
    <row r="10" spans="1:10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5" t="s">
        <v>8</v>
      </c>
      <c r="H10" s="15" t="s">
        <v>9</v>
      </c>
      <c r="I10" s="2" t="s">
        <v>25</v>
      </c>
      <c r="J10" s="14" t="s">
        <v>10</v>
      </c>
    </row>
    <row r="11" spans="1:10" ht="15.5" x14ac:dyDescent="0.3">
      <c r="B11" s="4"/>
      <c r="C11" s="31" t="s">
        <v>35</v>
      </c>
      <c r="D11" s="31"/>
      <c r="E11" s="31"/>
      <c r="F11" s="5"/>
      <c r="G11" s="12"/>
      <c r="H11" s="4"/>
      <c r="I11" s="13"/>
      <c r="J11" s="6"/>
    </row>
    <row r="12" spans="1:10" ht="15.5" x14ac:dyDescent="0.3">
      <c r="B12" s="4">
        <v>1</v>
      </c>
      <c r="C12" s="32" t="s">
        <v>30</v>
      </c>
      <c r="D12" s="32"/>
      <c r="E12" s="32"/>
      <c r="F12" s="5">
        <v>1</v>
      </c>
      <c r="G12" s="12">
        <v>1640</v>
      </c>
      <c r="H12" s="4" t="s">
        <v>22</v>
      </c>
      <c r="I12" s="13">
        <v>520</v>
      </c>
      <c r="J12" s="20">
        <f>G12*I12</f>
        <v>852800</v>
      </c>
    </row>
    <row r="13" spans="1:10" ht="15.5" x14ac:dyDescent="0.3">
      <c r="B13" s="4">
        <v>2</v>
      </c>
      <c r="C13" s="32" t="s">
        <v>31</v>
      </c>
      <c r="D13" s="32"/>
      <c r="E13" s="32"/>
      <c r="F13" s="5">
        <v>1</v>
      </c>
      <c r="G13" s="12">
        <v>6560</v>
      </c>
      <c r="H13" s="4" t="s">
        <v>24</v>
      </c>
      <c r="I13" s="13">
        <v>135</v>
      </c>
      <c r="J13" s="20">
        <f>G13*I13</f>
        <v>885600</v>
      </c>
    </row>
    <row r="14" spans="1:10" ht="17.399999999999999" customHeight="1" x14ac:dyDescent="0.35">
      <c r="A14" s="8"/>
      <c r="B14" s="17"/>
      <c r="C14" s="35" t="s">
        <v>18</v>
      </c>
      <c r="D14" s="35"/>
      <c r="E14" s="35"/>
      <c r="F14" s="35"/>
      <c r="G14" s="35"/>
      <c r="H14" s="35"/>
      <c r="I14" s="35"/>
      <c r="J14" s="19">
        <f>SUM(J11:J13)</f>
        <v>1738400</v>
      </c>
    </row>
    <row r="15" spans="1:10" ht="17.399999999999999" customHeight="1" x14ac:dyDescent="0.35">
      <c r="B15" s="17"/>
      <c r="C15" s="33" t="s">
        <v>32</v>
      </c>
      <c r="D15" s="33"/>
      <c r="E15" s="33"/>
      <c r="F15" s="33"/>
      <c r="G15" s="33"/>
      <c r="H15" s="33"/>
      <c r="I15" s="33"/>
      <c r="J15" s="7">
        <f>J14*9%</f>
        <v>156456</v>
      </c>
    </row>
    <row r="16" spans="1:10" ht="17.399999999999999" customHeight="1" x14ac:dyDescent="0.35">
      <c r="B16" s="17"/>
      <c r="C16" s="33" t="s">
        <v>33</v>
      </c>
      <c r="D16" s="33"/>
      <c r="E16" s="33"/>
      <c r="F16" s="33"/>
      <c r="G16" s="33"/>
      <c r="H16" s="33"/>
      <c r="I16" s="33"/>
      <c r="J16" s="7">
        <f>J14*9%</f>
        <v>156456</v>
      </c>
    </row>
    <row r="17" spans="2:12" ht="17.399999999999999" customHeight="1" x14ac:dyDescent="0.35">
      <c r="B17" s="17"/>
      <c r="C17" s="33"/>
      <c r="D17" s="33"/>
      <c r="E17" s="33"/>
      <c r="F17" s="33"/>
      <c r="G17" s="33"/>
      <c r="H17" s="33"/>
      <c r="I17" s="33"/>
      <c r="J17" s="7"/>
    </row>
    <row r="18" spans="2:12" ht="17.399999999999999" customHeight="1" x14ac:dyDescent="0.35">
      <c r="B18" s="17"/>
      <c r="C18" s="14"/>
      <c r="D18" s="14"/>
      <c r="E18" s="14"/>
      <c r="F18" s="14"/>
      <c r="G18" s="14"/>
      <c r="H18" s="14"/>
      <c r="I18" s="14"/>
      <c r="J18" s="19">
        <f>J14+J16+J17+J15</f>
        <v>2051312</v>
      </c>
      <c r="L18" s="21"/>
    </row>
    <row r="19" spans="2:12" ht="15.5" x14ac:dyDescent="0.35">
      <c r="B19" s="8"/>
      <c r="C19" s="36" t="s">
        <v>36</v>
      </c>
      <c r="D19" s="36"/>
      <c r="E19" s="36"/>
      <c r="F19" s="36"/>
      <c r="G19" s="36"/>
      <c r="H19" s="36"/>
      <c r="I19" s="36"/>
      <c r="J19" s="36"/>
    </row>
    <row r="20" spans="2:12" ht="15.5" x14ac:dyDescent="0.35">
      <c r="B20" s="17"/>
      <c r="C20" s="26" t="s">
        <v>12</v>
      </c>
      <c r="D20" s="26"/>
      <c r="E20" s="26"/>
      <c r="F20" s="8"/>
      <c r="G20" s="8"/>
      <c r="H20" s="8"/>
      <c r="I20" s="8"/>
      <c r="J20" s="9">
        <v>0</v>
      </c>
    </row>
    <row r="21" spans="2:12" ht="15.5" x14ac:dyDescent="0.35">
      <c r="B21" s="17"/>
      <c r="C21" s="26" t="s">
        <v>20</v>
      </c>
      <c r="D21" s="26"/>
      <c r="E21" s="26"/>
      <c r="F21" s="8"/>
      <c r="G21" s="8"/>
      <c r="H21" s="8"/>
      <c r="I21" s="8"/>
      <c r="J21" s="9">
        <v>0</v>
      </c>
    </row>
    <row r="22" spans="2:12" ht="15.5" x14ac:dyDescent="0.35">
      <c r="B22" s="17"/>
      <c r="C22" s="26" t="s">
        <v>13</v>
      </c>
      <c r="D22" s="26"/>
      <c r="E22" s="26"/>
      <c r="F22" s="8"/>
      <c r="G22" s="8" t="s">
        <v>19</v>
      </c>
      <c r="H22" s="8"/>
      <c r="I22" s="8"/>
      <c r="J22" s="18">
        <f>J18</f>
        <v>2051312</v>
      </c>
    </row>
    <row r="23" spans="2:12" ht="15.5" x14ac:dyDescent="0.35">
      <c r="B23" s="8"/>
      <c r="C23" s="26"/>
      <c r="D23" s="26"/>
      <c r="E23" s="26"/>
      <c r="F23" s="8"/>
      <c r="G23" s="8"/>
      <c r="H23" s="8"/>
      <c r="I23" s="8"/>
      <c r="J23" s="8"/>
      <c r="L23" s="11"/>
    </row>
    <row r="24" spans="2:12" x14ac:dyDescent="0.3">
      <c r="B24" s="23" t="s">
        <v>14</v>
      </c>
      <c r="C24" s="23"/>
      <c r="D24" s="23"/>
      <c r="E24" s="23"/>
      <c r="F24" s="23"/>
      <c r="G24" s="23"/>
      <c r="H24" s="23"/>
      <c r="I24" s="23"/>
      <c r="J24" s="23"/>
    </row>
    <row r="25" spans="2:12" x14ac:dyDescent="0.3">
      <c r="B25" s="23"/>
      <c r="C25" s="23"/>
      <c r="D25" s="23"/>
      <c r="E25" s="23"/>
      <c r="F25" s="23"/>
      <c r="G25" s="23"/>
      <c r="H25" s="23"/>
      <c r="I25" s="23"/>
      <c r="J25" s="23"/>
    </row>
    <row r="26" spans="2:12" x14ac:dyDescent="0.3">
      <c r="B26" s="23"/>
      <c r="C26" s="23"/>
      <c r="D26" s="23"/>
      <c r="E26" s="23"/>
      <c r="F26" s="23"/>
      <c r="G26" s="23"/>
      <c r="H26" s="23"/>
      <c r="I26" s="23"/>
      <c r="J26" s="23"/>
    </row>
    <row r="29" spans="2:12" ht="14.15" customHeight="1" x14ac:dyDescent="0.3">
      <c r="B29" s="22" t="s">
        <v>15</v>
      </c>
      <c r="C29" s="22"/>
      <c r="D29" s="22"/>
      <c r="E29" s="22"/>
      <c r="F29" s="22"/>
      <c r="G29" s="22"/>
      <c r="H29" s="22"/>
      <c r="I29" s="22"/>
      <c r="J29" s="22"/>
    </row>
    <row r="30" spans="2:12" ht="14.15" customHeight="1" x14ac:dyDescent="0.3">
      <c r="B30" s="22"/>
      <c r="C30" s="22"/>
      <c r="D30" s="22"/>
      <c r="E30" s="22"/>
      <c r="F30" s="22"/>
      <c r="G30" s="22"/>
      <c r="H30" s="22"/>
      <c r="I30" s="22"/>
      <c r="J30" s="22"/>
    </row>
    <row r="31" spans="2:12" x14ac:dyDescent="0.3">
      <c r="B31" s="22"/>
      <c r="C31" s="22"/>
      <c r="D31" s="22"/>
      <c r="E31" s="22"/>
      <c r="F31" s="22"/>
      <c r="G31" s="22"/>
      <c r="H31" s="22"/>
      <c r="I31" s="22"/>
      <c r="J31" s="22"/>
    </row>
    <row r="32" spans="2:12" x14ac:dyDescent="0.3">
      <c r="B32" s="22"/>
      <c r="C32" s="22"/>
      <c r="D32" s="22"/>
      <c r="E32" s="22"/>
      <c r="F32" s="22"/>
      <c r="G32" s="22"/>
      <c r="H32" s="22"/>
      <c r="I32" s="22"/>
      <c r="J32" s="22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</sheetData>
  <mergeCells count="30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21:E21"/>
    <mergeCell ref="B9:J9"/>
    <mergeCell ref="C10:E10"/>
    <mergeCell ref="C11:E11"/>
    <mergeCell ref="C12:E12"/>
    <mergeCell ref="C13:E13"/>
    <mergeCell ref="C14:I14"/>
    <mergeCell ref="C15:I15"/>
    <mergeCell ref="C16:I16"/>
    <mergeCell ref="C17:I17"/>
    <mergeCell ref="C19:J19"/>
    <mergeCell ref="C20:E20"/>
    <mergeCell ref="C22:E22"/>
    <mergeCell ref="C23:E23"/>
    <mergeCell ref="B24:J26"/>
    <mergeCell ref="B29:J30"/>
    <mergeCell ref="B31:J32"/>
  </mergeCells>
  <pageMargins left="0.7" right="0.7" top="0.75" bottom="0.75" header="0.3" footer="0.3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2024-11-23T10:08:59Z</cp:lastPrinted>
  <dcterms:created xsi:type="dcterms:W3CDTF">2017-06-28T08:31:23Z</dcterms:created>
  <dcterms:modified xsi:type="dcterms:W3CDTF">2025-11-11T10:01:51Z</dcterms:modified>
</cp:coreProperties>
</file>