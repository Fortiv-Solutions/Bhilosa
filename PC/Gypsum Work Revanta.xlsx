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A10F00D0-E3E4-4EB6-9097-485ED63D9F9D}" xr6:coauthVersionLast="47" xr6:coauthVersionMax="47" xr10:uidLastSave="{00000000-0000-0000-0000-000000000000}"/>
  <bookViews>
    <workbookView xWindow="-110" yWindow="-110" windowWidth="19420" windowHeight="10300" activeTab="7" xr2:uid="{00000000-000D-0000-FFFF-FFFF00000000}"/>
  </bookViews>
  <sheets>
    <sheet name="Bill-1" sheetId="5" r:id="rId1"/>
    <sheet name="Bill-2" sheetId="10" r:id="rId2"/>
    <sheet name="Bill-3" sheetId="11" r:id="rId3"/>
    <sheet name="Bill-4" sheetId="12" r:id="rId4"/>
    <sheet name="Bill-5" sheetId="13" r:id="rId5"/>
    <sheet name="Bill-6" sheetId="14" r:id="rId6"/>
    <sheet name="Bill-7" sheetId="15" r:id="rId7"/>
    <sheet name="Bill-8" sheetId="1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6" l="1"/>
  <c r="N12" i="16"/>
  <c r="N11" i="16"/>
  <c r="N14" i="15"/>
  <c r="N13" i="15"/>
  <c r="N15" i="15"/>
  <c r="N12" i="15"/>
  <c r="N11" i="15"/>
  <c r="N13" i="14"/>
  <c r="N12" i="14"/>
  <c r="N14" i="14" s="1"/>
  <c r="N18" i="14" s="1"/>
  <c r="N22" i="14" s="1"/>
  <c r="N11" i="14"/>
  <c r="N13" i="13"/>
  <c r="N12" i="13"/>
  <c r="N15" i="13"/>
  <c r="N14" i="13"/>
  <c r="N11" i="13"/>
  <c r="N13" i="12"/>
  <c r="N12" i="12"/>
  <c r="N11" i="12"/>
  <c r="N13" i="11"/>
  <c r="N12" i="11"/>
  <c r="N11" i="11"/>
  <c r="N13" i="10"/>
  <c r="N12" i="10"/>
  <c r="N11" i="10"/>
  <c r="N14" i="16" l="1"/>
  <c r="N18" i="16" s="1"/>
  <c r="N22" i="16" s="1"/>
  <c r="N16" i="15"/>
  <c r="N20" i="15" s="1"/>
  <c r="N24" i="15" s="1"/>
  <c r="N16" i="13"/>
  <c r="N20" i="13" s="1"/>
  <c r="N24" i="13" s="1"/>
  <c r="N14" i="12"/>
  <c r="N18" i="12" s="1"/>
  <c r="N22" i="12" s="1"/>
  <c r="N14" i="11"/>
  <c r="N18" i="11" s="1"/>
  <c r="N22" i="11" s="1"/>
  <c r="N14" i="10"/>
  <c r="N18" i="10" s="1"/>
  <c r="N22" i="10" s="1"/>
  <c r="N11" i="5"/>
  <c r="N13" i="5"/>
  <c r="N12" i="5" l="1"/>
  <c r="N14" i="5" l="1"/>
  <c r="N18" i="5" l="1"/>
  <c r="N22" i="5" l="1"/>
</calcChain>
</file>

<file path=xl/sharedStrings.xml><?xml version="1.0" encoding="utf-8"?>
<sst xmlns="http://schemas.openxmlformats.org/spreadsheetml/2006/main" count="320" uniqueCount="69">
  <si>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</si>
  <si>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</si>
  <si>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</si>
  <si>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</si>
  <si>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</si>
  <si>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</si>
  <si>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</si>
  <si>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</si>
  <si>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</si>
  <si>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</si>
  <si>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Rate</t>
  </si>
  <si>
    <t>Amount</t>
  </si>
  <si>
    <t>Sr.
No.</t>
  </si>
  <si>
    <t xml:space="preserve">Advance Payment </t>
  </si>
  <si>
    <t>Balance Payment to be paid</t>
  </si>
  <si>
    <t xml:space="preserve">Approved By - </t>
  </si>
  <si>
    <t xml:space="preserve">Company Name </t>
  </si>
  <si>
    <t>Bill Date</t>
  </si>
  <si>
    <t xml:space="preserve">Total Bill Amount </t>
  </si>
  <si>
    <t>Invoice No.</t>
  </si>
  <si>
    <t>Central GST 9%</t>
  </si>
  <si>
    <t>State GST 9%</t>
  </si>
  <si>
    <t>Retention 5%</t>
  </si>
  <si>
    <t>-</t>
  </si>
  <si>
    <t>Debit</t>
  </si>
  <si>
    <t xml:space="preserve">Sahilbhai </t>
  </si>
  <si>
    <t>Mohd Ahmad Ateekur Raheman</t>
  </si>
  <si>
    <t>Gypsum With material Work</t>
  </si>
  <si>
    <t>Gypsum patra punning work</t>
  </si>
  <si>
    <t>No. of Flats</t>
  </si>
  <si>
    <t>Sq.ft. per Flat</t>
  </si>
  <si>
    <t>To, 
Tanvi Infracon</t>
  </si>
  <si>
    <t>D- Building Gypsum Punning work</t>
  </si>
  <si>
    <t>Basin Above Ceiling work</t>
  </si>
  <si>
    <t>Five Lakh Two Thousand Two Hundred Ninty One Only</t>
  </si>
  <si>
    <t>E-Building Gypsum Punning work (12 No. Line)</t>
  </si>
  <si>
    <t>E- Building Gypsum Punning work (11 No. Line)</t>
  </si>
  <si>
    <t>Three Lakh Sixty Six Thousand Six Hundred Twenty Only</t>
  </si>
  <si>
    <t>D- Building Gypsum Ceiling Work</t>
  </si>
  <si>
    <t>Sq.ft.</t>
  </si>
  <si>
    <t>Ceiling groove work</t>
  </si>
  <si>
    <t>R.ft.</t>
  </si>
  <si>
    <t>C- Building Gypsum Patra Punning work (23 Flats)</t>
  </si>
  <si>
    <t>Sq.ft. / R.ft.</t>
  </si>
  <si>
    <t>Six lakh Fourty Four Thousand Three Hundred Ninty one Only</t>
  </si>
  <si>
    <t>Gaush Mohammad Khan</t>
  </si>
  <si>
    <t>E- Building Gypsum Ceiling Work (1st to 13th Floor)</t>
  </si>
  <si>
    <t>E- Building Ceiling groove work</t>
  </si>
  <si>
    <t>C- Building Gypsum Patra Punning work (21 Flats)</t>
  </si>
  <si>
    <t>Five Lakh Ninty Two Thousand Five Hundred Twenty Two Only</t>
  </si>
  <si>
    <t>B- Building Gypsum Patra Punning work (11 Flats)</t>
  </si>
  <si>
    <t>B- Building Gypsum Patra Punning work (13 Flats)</t>
  </si>
  <si>
    <t>C- Building Gypsum Ceiling Work (1st Floor to 13th Floor)</t>
  </si>
  <si>
    <t>E- Building Gypsum Patra Punning work (2 Flats)</t>
  </si>
  <si>
    <t>Basin area Ceiling work</t>
  </si>
  <si>
    <t>Six Lakh Ninty Nine Thousand Nine Hundred Sixty Eight Only</t>
  </si>
  <si>
    <t>A- Building Gypsum Patra Punning work (11 Flats)</t>
  </si>
  <si>
    <t>A- Building Gypsum Patra Punning work (12 Flats)</t>
  </si>
  <si>
    <t>Four Lakh Fourty Four Thousand Seven Hundred Fourty Four Only</t>
  </si>
  <si>
    <t xml:space="preserve">Passage Groove </t>
  </si>
  <si>
    <t xml:space="preserve">B- Building Staircase, Lift passage Ceiling 1st to 13th Floor </t>
  </si>
  <si>
    <t xml:space="preserve">A- Building Staircase, Lift passage Ceiling 1st to 13th Floor </t>
  </si>
  <si>
    <t>Nos.</t>
  </si>
  <si>
    <t>A and B Building Ceiling cleaning work (47 Flats)</t>
  </si>
  <si>
    <t>Four Lakh Thirty One Thousand Three Hundred Eight Only</t>
  </si>
  <si>
    <t>Ground floor For Ceiling, lift and staircase (D,E,B,A,C and Ramp)</t>
  </si>
  <si>
    <t>Total Groove 5 Building</t>
  </si>
  <si>
    <t xml:space="preserve">MR Board Ceiling </t>
  </si>
  <si>
    <t>Three Lakh Fourty One Thousand One Hundred Ninty Two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</si>
</sst>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165" fontId="4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vertical="center"/>
    </xf>
    <xf numFmtId="165" fontId="5" fillId="0" borderId="0" xfId="1" applyNumberFormat="1" applyFont="1"/>
    <xf numFmtId="165" fontId="4" fillId="0" borderId="0" xfId="1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5" fontId="5" fillId="0" borderId="0" xfId="0" applyNumberFormat="1" applyFont="1"/>
    <xf numFmtId="166" fontId="4" fillId="0" borderId="0" xfId="1" applyNumberFormat="1" applyFont="1" applyAlignment="1">
      <alignment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E2:N34"/>
  <sheetViews>
    <sheetView topLeftCell="A4" workbookViewId="0">
      <selection activeCell="C23" sqref="C23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3" width="10.08984375" style="1" bestFit="1" customWidth="1"/>
    <col min="14" max="14" width="12.453125" style="1" customWidth="1"/>
    <col min="15" max="16384" width="8.6328125" style="1"/>
  </cols>
  <sheetData>
    <row r="2" spans="5:14" ht="17.5" x14ac:dyDescent="0.35">
      <c r="E2" s="20" t="s">
        <v>0</v>
      </c>
      <c r="F2" s="20"/>
      <c r="G2" s="20"/>
      <c r="H2" s="20"/>
      <c r="I2" s="20"/>
      <c r="J2" s="20"/>
      <c r="K2" s="20"/>
      <c r="L2" s="20"/>
      <c r="M2" s="20"/>
      <c r="N2" s="20"/>
    </row>
    <row r="3" spans="5:14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5:14" ht="15.5" x14ac:dyDescent="0.35">
      <c r="E4" s="21" t="s">
        <v>16</v>
      </c>
      <c r="F4" s="21"/>
      <c r="G4" s="22" t="s">
        <v>26</v>
      </c>
      <c r="H4" s="22"/>
      <c r="I4" s="22"/>
      <c r="J4" s="22"/>
      <c r="K4" s="23" t="s">
        <v>19</v>
      </c>
      <c r="L4" s="23"/>
      <c r="M4" s="23"/>
      <c r="N4" s="7">
        <v>1</v>
      </c>
    </row>
    <row r="5" spans="5:14" ht="18.899999999999999" customHeight="1" x14ac:dyDescent="0.3">
      <c r="E5" s="24" t="s">
        <v>1</v>
      </c>
      <c r="F5" s="24"/>
      <c r="G5" s="25" t="s">
        <v>25</v>
      </c>
      <c r="H5" s="25"/>
      <c r="I5" s="25"/>
      <c r="J5" s="25"/>
      <c r="K5" s="25"/>
      <c r="L5" s="25"/>
      <c r="M5" s="25"/>
      <c r="N5" s="25"/>
    </row>
    <row r="6" spans="5:14" ht="30.9" customHeight="1" x14ac:dyDescent="0.35">
      <c r="E6" s="26" t="s">
        <v>31</v>
      </c>
      <c r="F6" s="26"/>
      <c r="G6" s="26"/>
      <c r="H6" s="26"/>
      <c r="I6" s="26"/>
      <c r="J6" s="26"/>
      <c r="K6" s="8" t="s">
        <v>2</v>
      </c>
      <c r="L6" s="8"/>
      <c r="M6" s="27">
        <v>45335</v>
      </c>
      <c r="N6" s="28"/>
    </row>
    <row r="7" spans="5:14" ht="20.149999999999999" customHeight="1" x14ac:dyDescent="0.3">
      <c r="E7" s="29" t="s">
        <v>3</v>
      </c>
      <c r="F7" s="29"/>
      <c r="G7" s="30" t="s">
        <v>27</v>
      </c>
      <c r="H7" s="30"/>
      <c r="I7" s="30"/>
      <c r="J7" s="30"/>
      <c r="K7" s="14" t="s">
        <v>17</v>
      </c>
      <c r="L7" s="14"/>
      <c r="M7" s="27">
        <v>45329</v>
      </c>
      <c r="N7" s="28"/>
    </row>
    <row r="8" spans="5:14" ht="18.899999999999999" customHeight="1" x14ac:dyDescent="0.3">
      <c r="E8" s="24" t="s">
        <v>5</v>
      </c>
      <c r="F8" s="24"/>
      <c r="G8" s="25" t="s">
        <v>28</v>
      </c>
      <c r="H8" s="25"/>
      <c r="I8" s="25"/>
      <c r="J8" s="25"/>
      <c r="K8" s="25"/>
      <c r="L8" s="25"/>
      <c r="M8" s="25"/>
      <c r="N8" s="25"/>
    </row>
    <row r="9" spans="5:14" ht="20.399999999999999" customHeight="1" x14ac:dyDescent="0.3">
      <c r="E9" s="24" t="s">
        <v>4</v>
      </c>
      <c r="F9" s="24"/>
      <c r="G9" s="24"/>
      <c r="H9" s="24"/>
      <c r="I9" s="24"/>
      <c r="J9" s="24"/>
      <c r="K9" s="24"/>
      <c r="L9" s="24"/>
      <c r="M9" s="24"/>
      <c r="N9" s="24"/>
    </row>
    <row r="10" spans="5:14" ht="30" x14ac:dyDescent="0.3">
      <c r="E10" s="2" t="s">
        <v>12</v>
      </c>
      <c r="F10" s="31" t="s">
        <v>6</v>
      </c>
      <c r="G10" s="31"/>
      <c r="H10" s="31"/>
      <c r="I10" s="3" t="s">
        <v>7</v>
      </c>
      <c r="J10" s="13" t="s">
        <v>8</v>
      </c>
      <c r="K10" s="13" t="s">
        <v>9</v>
      </c>
      <c r="L10" s="2" t="s">
        <v>29</v>
      </c>
      <c r="M10" s="14" t="s">
        <v>10</v>
      </c>
      <c r="N10" s="13" t="s">
        <v>11</v>
      </c>
    </row>
    <row r="11" spans="5:14" ht="33.9" customHeight="1" x14ac:dyDescent="0.3">
      <c r="E11" s="4">
        <v>1</v>
      </c>
      <c r="F11" s="30" t="s">
        <v>32</v>
      </c>
      <c r="G11" s="30"/>
      <c r="H11" s="30"/>
      <c r="I11" s="5">
        <v>1</v>
      </c>
      <c r="J11" s="12">
        <v>2886</v>
      </c>
      <c r="K11" s="17" t="s">
        <v>30</v>
      </c>
      <c r="L11" s="4">
        <v>13</v>
      </c>
      <c r="M11" s="4">
        <v>6.75</v>
      </c>
      <c r="N11" s="9">
        <f>J11*L11*M11*I11</f>
        <v>253246.5</v>
      </c>
    </row>
    <row r="12" spans="5:14" ht="33.9" customHeight="1" x14ac:dyDescent="0.3">
      <c r="E12" s="4">
        <v>2</v>
      </c>
      <c r="F12" s="30" t="s">
        <v>33</v>
      </c>
      <c r="G12" s="30"/>
      <c r="H12" s="30"/>
      <c r="I12" s="5">
        <v>1</v>
      </c>
      <c r="J12" s="12">
        <v>4.5</v>
      </c>
      <c r="K12" s="17" t="s">
        <v>30</v>
      </c>
      <c r="L12" s="4">
        <v>13</v>
      </c>
      <c r="M12" s="4">
        <v>55</v>
      </c>
      <c r="N12" s="9">
        <f>J12*L12*M12*I12</f>
        <v>3217.5</v>
      </c>
    </row>
    <row r="13" spans="5:14" ht="33.9" customHeight="1" x14ac:dyDescent="0.3">
      <c r="E13" s="4">
        <v>3</v>
      </c>
      <c r="F13" s="30" t="s">
        <v>32</v>
      </c>
      <c r="G13" s="30"/>
      <c r="H13" s="30"/>
      <c r="I13" s="5">
        <v>1</v>
      </c>
      <c r="J13" s="12">
        <v>2801.45</v>
      </c>
      <c r="K13" s="17" t="s">
        <v>30</v>
      </c>
      <c r="L13" s="4">
        <v>13</v>
      </c>
      <c r="M13" s="4">
        <v>6.75</v>
      </c>
      <c r="N13" s="9">
        <f>J13*L13*M13*I13</f>
        <v>245827.23749999999</v>
      </c>
    </row>
    <row r="14" spans="5:14" ht="17.399999999999999" customHeight="1" x14ac:dyDescent="0.35">
      <c r="E14" s="16"/>
      <c r="F14" s="32" t="s">
        <v>18</v>
      </c>
      <c r="G14" s="32"/>
      <c r="H14" s="32"/>
      <c r="I14" s="32"/>
      <c r="J14" s="32"/>
      <c r="K14" s="32"/>
      <c r="L14" s="32"/>
      <c r="M14" s="32"/>
      <c r="N14" s="10">
        <f>SUM(N11:N13)</f>
        <v>502291.23749999999</v>
      </c>
    </row>
    <row r="15" spans="5:14" ht="17.399999999999999" customHeight="1" x14ac:dyDescent="0.35">
      <c r="E15" s="16"/>
      <c r="F15" s="33" t="s">
        <v>20</v>
      </c>
      <c r="G15" s="33"/>
      <c r="H15" s="33"/>
      <c r="I15" s="33"/>
      <c r="J15" s="33"/>
      <c r="K15" s="33"/>
      <c r="L15" s="33"/>
      <c r="M15" s="33"/>
      <c r="N15" s="6" t="s">
        <v>23</v>
      </c>
    </row>
    <row r="16" spans="5:14" ht="17.399999999999999" customHeight="1" x14ac:dyDescent="0.35">
      <c r="E16" s="16"/>
      <c r="F16" s="33" t="s">
        <v>21</v>
      </c>
      <c r="G16" s="33"/>
      <c r="H16" s="33"/>
      <c r="I16" s="33"/>
      <c r="J16" s="33"/>
      <c r="K16" s="33"/>
      <c r="L16" s="33"/>
      <c r="M16" s="33"/>
      <c r="N16" s="6" t="s">
        <v>23</v>
      </c>
    </row>
    <row r="17" spans="5:14" ht="17.399999999999999" customHeight="1" x14ac:dyDescent="0.35">
      <c r="E17" s="16"/>
      <c r="F17" s="33" t="s">
        <v>24</v>
      </c>
      <c r="G17" s="33"/>
      <c r="H17" s="33"/>
      <c r="I17" s="33"/>
      <c r="J17" s="33"/>
      <c r="K17" s="33"/>
      <c r="L17" s="33"/>
      <c r="M17" s="33"/>
      <c r="N17" s="10"/>
    </row>
    <row r="18" spans="5:14" ht="17.399999999999999" customHeight="1" x14ac:dyDescent="0.35">
      <c r="E18" s="16"/>
      <c r="F18" s="13"/>
      <c r="G18" s="13"/>
      <c r="H18" s="13"/>
      <c r="I18" s="13"/>
      <c r="J18" s="13"/>
      <c r="K18" s="13"/>
      <c r="L18" s="13"/>
      <c r="M18" s="13"/>
      <c r="N18" s="10">
        <f>N14-N17</f>
        <v>502291.23749999999</v>
      </c>
    </row>
    <row r="19" spans="5:14" ht="15.5" x14ac:dyDescent="0.35">
      <c r="E19" s="7"/>
      <c r="F19" s="34" t="s">
        <v>34</v>
      </c>
      <c r="G19" s="34"/>
      <c r="H19" s="34"/>
      <c r="I19" s="34"/>
      <c r="J19" s="34"/>
      <c r="K19" s="34"/>
      <c r="L19" s="34"/>
      <c r="M19" s="34"/>
      <c r="N19" s="34"/>
    </row>
    <row r="20" spans="5:14" ht="15.5" x14ac:dyDescent="0.35">
      <c r="E20" s="16"/>
      <c r="F20" s="22" t="s">
        <v>13</v>
      </c>
      <c r="G20" s="22"/>
      <c r="H20" s="22"/>
      <c r="I20" s="7"/>
      <c r="J20" s="7"/>
      <c r="K20" s="7"/>
      <c r="L20" s="7"/>
      <c r="M20" s="7"/>
      <c r="N20" s="11"/>
    </row>
    <row r="21" spans="5:14" ht="15.5" x14ac:dyDescent="0.35">
      <c r="E21" s="16"/>
      <c r="F21" s="22" t="s">
        <v>22</v>
      </c>
      <c r="G21" s="22"/>
      <c r="H21" s="22"/>
      <c r="I21" s="7"/>
      <c r="J21" s="7"/>
      <c r="K21" s="7"/>
      <c r="L21" s="7"/>
      <c r="M21" s="7"/>
      <c r="N21" s="11"/>
    </row>
    <row r="22" spans="5:14" ht="15.5" x14ac:dyDescent="0.35">
      <c r="E22" s="16"/>
      <c r="F22" s="22" t="s">
        <v>14</v>
      </c>
      <c r="G22" s="22"/>
      <c r="H22" s="22"/>
      <c r="I22" s="7"/>
      <c r="J22" s="7"/>
      <c r="K22" s="7"/>
      <c r="L22" s="7"/>
      <c r="M22" s="7"/>
      <c r="N22" s="18">
        <f>N18-N20-N21</f>
        <v>502291.23749999999</v>
      </c>
    </row>
    <row r="23" spans="5:14" ht="15.5" x14ac:dyDescent="0.35"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5:14" x14ac:dyDescent="0.3"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spans="5:14" x14ac:dyDescent="0.3"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5:14" x14ac:dyDescent="0.3"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spans="5:14" x14ac:dyDescent="0.3">
      <c r="E27" s="24" t="s">
        <v>15</v>
      </c>
      <c r="F27" s="24"/>
      <c r="G27" s="24"/>
      <c r="H27" s="24"/>
      <c r="I27" s="24"/>
      <c r="J27" s="24"/>
      <c r="K27" s="24"/>
      <c r="L27" s="24"/>
      <c r="M27" s="24"/>
      <c r="N27" s="24"/>
    </row>
    <row r="28" spans="5:14" x14ac:dyDescent="0.3"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5:14" x14ac:dyDescent="0.3"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5:14" x14ac:dyDescent="0.3"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5:14" x14ac:dyDescent="0.3"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5:14" x14ac:dyDescent="0.3"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5:14" ht="15.5" x14ac:dyDescent="0.35"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5:14" ht="15.5" x14ac:dyDescent="0.35">
      <c r="E34" s="7"/>
      <c r="F34" s="7"/>
      <c r="G34" s="7"/>
      <c r="H34" s="7"/>
      <c r="I34" s="7"/>
      <c r="J34" s="7"/>
      <c r="K34" s="7"/>
      <c r="L34" s="7"/>
      <c r="M34" s="7"/>
      <c r="N34" s="7"/>
    </row>
  </sheetData>
  <mergeCells count="30">
    <mergeCell ref="F13:H13"/>
    <mergeCell ref="F11:H11"/>
    <mergeCell ref="E31:N32"/>
    <mergeCell ref="F14:M14"/>
    <mergeCell ref="F15:M15"/>
    <mergeCell ref="F16:M16"/>
    <mergeCell ref="F17:M17"/>
    <mergeCell ref="F19:N19"/>
    <mergeCell ref="F20:H20"/>
    <mergeCell ref="F21:H21"/>
    <mergeCell ref="F22:H22"/>
    <mergeCell ref="E24:N26"/>
    <mergeCell ref="E27:N28"/>
    <mergeCell ref="E29:N30"/>
    <mergeCell ref="E8:F8"/>
    <mergeCell ref="G8:N8"/>
    <mergeCell ref="E9:N9"/>
    <mergeCell ref="F10:H10"/>
    <mergeCell ref="F12:H12"/>
    <mergeCell ref="E6:J6"/>
    <mergeCell ref="M6:N6"/>
    <mergeCell ref="E7:F7"/>
    <mergeCell ref="G7:J7"/>
    <mergeCell ref="M7:N7"/>
    <mergeCell ref="E2:N2"/>
    <mergeCell ref="E4:F4"/>
    <mergeCell ref="G4:J4"/>
    <mergeCell ref="K4:M4"/>
    <mergeCell ref="E5:F5"/>
    <mergeCell ref="G5:N5"/>
  </mergeCells>
  <pageMargins left="0.7" right="0.7" top="0.75" bottom="0.75" header="0.3" footer="0.3"/>
  <pageSetup paperSize="9" scale="54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9D97-C2D1-4E66-9581-D706E825A8F5}">
  <sheetPr>
    <pageSetUpPr fitToPage="1"/>
  </sheetPr>
  <dimension ref="E2:N34"/>
  <sheetViews>
    <sheetView topLeftCell="A4" workbookViewId="0">
      <selection activeCell="B13" sqref="B13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3" width="10.08984375" style="1" bestFit="1" customWidth="1"/>
    <col min="14" max="14" width="12.453125" style="1" customWidth="1"/>
    <col min="15" max="16384" width="8.6328125" style="1"/>
  </cols>
  <sheetData>
    <row r="2" spans="5:14" ht="17.5" x14ac:dyDescent="0.35">
      <c r="E2" s="20" t="s">
        <v>0</v>
      </c>
      <c r="F2" s="20"/>
      <c r="G2" s="20"/>
      <c r="H2" s="20"/>
      <c r="I2" s="20"/>
      <c r="J2" s="20"/>
      <c r="K2" s="20"/>
      <c r="L2" s="20"/>
      <c r="M2" s="20"/>
      <c r="N2" s="20"/>
    </row>
    <row r="3" spans="5:14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5:14" ht="15.5" x14ac:dyDescent="0.35">
      <c r="E4" s="21" t="s">
        <v>16</v>
      </c>
      <c r="F4" s="21"/>
      <c r="G4" s="22" t="s">
        <v>26</v>
      </c>
      <c r="H4" s="22"/>
      <c r="I4" s="22"/>
      <c r="J4" s="22"/>
      <c r="K4" s="23" t="s">
        <v>19</v>
      </c>
      <c r="L4" s="23"/>
      <c r="M4" s="23"/>
      <c r="N4" s="7">
        <v>2</v>
      </c>
    </row>
    <row r="5" spans="5:14" ht="18.899999999999999" customHeight="1" x14ac:dyDescent="0.3">
      <c r="E5" s="24" t="s">
        <v>1</v>
      </c>
      <c r="F5" s="24"/>
      <c r="G5" s="25" t="s">
        <v>25</v>
      </c>
      <c r="H5" s="25"/>
      <c r="I5" s="25"/>
      <c r="J5" s="25"/>
      <c r="K5" s="25"/>
      <c r="L5" s="25"/>
      <c r="M5" s="25"/>
      <c r="N5" s="25"/>
    </row>
    <row r="6" spans="5:14" ht="30.9" customHeight="1" x14ac:dyDescent="0.35">
      <c r="E6" s="26" t="s">
        <v>31</v>
      </c>
      <c r="F6" s="26"/>
      <c r="G6" s="26"/>
      <c r="H6" s="26"/>
      <c r="I6" s="26"/>
      <c r="J6" s="26"/>
      <c r="K6" s="8" t="s">
        <v>2</v>
      </c>
      <c r="L6" s="8"/>
      <c r="M6" s="27">
        <v>45335</v>
      </c>
      <c r="N6" s="28"/>
    </row>
    <row r="7" spans="5:14" ht="20.149999999999999" customHeight="1" x14ac:dyDescent="0.3">
      <c r="E7" s="29" t="s">
        <v>3</v>
      </c>
      <c r="F7" s="29"/>
      <c r="G7" s="30" t="s">
        <v>27</v>
      </c>
      <c r="H7" s="30"/>
      <c r="I7" s="30"/>
      <c r="J7" s="30"/>
      <c r="K7" s="14" t="s">
        <v>17</v>
      </c>
      <c r="L7" s="14"/>
      <c r="M7" s="27">
        <v>45335</v>
      </c>
      <c r="N7" s="28"/>
    </row>
    <row r="8" spans="5:14" ht="18.899999999999999" customHeight="1" x14ac:dyDescent="0.3">
      <c r="E8" s="24" t="s">
        <v>5</v>
      </c>
      <c r="F8" s="24"/>
      <c r="G8" s="25" t="s">
        <v>28</v>
      </c>
      <c r="H8" s="25"/>
      <c r="I8" s="25"/>
      <c r="J8" s="25"/>
      <c r="K8" s="25"/>
      <c r="L8" s="25"/>
      <c r="M8" s="25"/>
      <c r="N8" s="25"/>
    </row>
    <row r="9" spans="5:14" ht="20.399999999999999" customHeight="1" x14ac:dyDescent="0.3">
      <c r="E9" s="24" t="s">
        <v>4</v>
      </c>
      <c r="F9" s="24"/>
      <c r="G9" s="24"/>
      <c r="H9" s="24"/>
      <c r="I9" s="24"/>
      <c r="J9" s="24"/>
      <c r="K9" s="24"/>
      <c r="L9" s="24"/>
      <c r="M9" s="24"/>
      <c r="N9" s="24"/>
    </row>
    <row r="10" spans="5:14" ht="30" x14ac:dyDescent="0.3">
      <c r="E10" s="2" t="s">
        <v>12</v>
      </c>
      <c r="F10" s="31" t="s">
        <v>6</v>
      </c>
      <c r="G10" s="31"/>
      <c r="H10" s="31"/>
      <c r="I10" s="3" t="s">
        <v>7</v>
      </c>
      <c r="J10" s="13" t="s">
        <v>8</v>
      </c>
      <c r="K10" s="13" t="s">
        <v>9</v>
      </c>
      <c r="L10" s="2" t="s">
        <v>29</v>
      </c>
      <c r="M10" s="14" t="s">
        <v>10</v>
      </c>
      <c r="N10" s="13" t="s">
        <v>11</v>
      </c>
    </row>
    <row r="11" spans="5:14" ht="33.9" customHeight="1" x14ac:dyDescent="0.3">
      <c r="E11" s="4">
        <v>1</v>
      </c>
      <c r="F11" s="30" t="s">
        <v>35</v>
      </c>
      <c r="G11" s="30"/>
      <c r="H11" s="30"/>
      <c r="I11" s="5">
        <v>1</v>
      </c>
      <c r="J11" s="12">
        <v>2801</v>
      </c>
      <c r="K11" s="17" t="s">
        <v>30</v>
      </c>
      <c r="L11" s="4">
        <v>10</v>
      </c>
      <c r="M11" s="4">
        <v>6.75</v>
      </c>
      <c r="N11" s="9">
        <f>J11*L11*M11*I11</f>
        <v>189067.5</v>
      </c>
    </row>
    <row r="12" spans="5:14" ht="33.9" customHeight="1" x14ac:dyDescent="0.3">
      <c r="E12" s="4">
        <v>2</v>
      </c>
      <c r="F12" s="30" t="s">
        <v>33</v>
      </c>
      <c r="G12" s="30"/>
      <c r="H12" s="30"/>
      <c r="I12" s="5">
        <v>1</v>
      </c>
      <c r="J12" s="19">
        <v>4.5</v>
      </c>
      <c r="K12" s="17" t="s">
        <v>30</v>
      </c>
      <c r="L12" s="4">
        <v>9</v>
      </c>
      <c r="M12" s="4">
        <v>55</v>
      </c>
      <c r="N12" s="9">
        <f>J12*L12*M12*I12</f>
        <v>2227.5</v>
      </c>
    </row>
    <row r="13" spans="5:14" ht="33.9" customHeight="1" x14ac:dyDescent="0.3">
      <c r="E13" s="4">
        <v>3</v>
      </c>
      <c r="F13" s="30" t="s">
        <v>36</v>
      </c>
      <c r="G13" s="30"/>
      <c r="H13" s="30"/>
      <c r="I13" s="5">
        <v>1</v>
      </c>
      <c r="J13" s="12">
        <v>2886</v>
      </c>
      <c r="K13" s="17" t="s">
        <v>30</v>
      </c>
      <c r="L13" s="4">
        <v>9</v>
      </c>
      <c r="M13" s="4">
        <v>6.75</v>
      </c>
      <c r="N13" s="9">
        <f>J13*L13*M13*I13</f>
        <v>175324.5</v>
      </c>
    </row>
    <row r="14" spans="5:14" ht="17.399999999999999" customHeight="1" x14ac:dyDescent="0.35">
      <c r="E14" s="16"/>
      <c r="F14" s="32" t="s">
        <v>18</v>
      </c>
      <c r="G14" s="32"/>
      <c r="H14" s="32"/>
      <c r="I14" s="32"/>
      <c r="J14" s="32"/>
      <c r="K14" s="32"/>
      <c r="L14" s="32"/>
      <c r="M14" s="32"/>
      <c r="N14" s="10">
        <f>SUM(N11:N13)</f>
        <v>366619.5</v>
      </c>
    </row>
    <row r="15" spans="5:14" ht="17.399999999999999" customHeight="1" x14ac:dyDescent="0.35">
      <c r="E15" s="16"/>
      <c r="F15" s="33" t="s">
        <v>20</v>
      </c>
      <c r="G15" s="33"/>
      <c r="H15" s="33"/>
      <c r="I15" s="33"/>
      <c r="J15" s="33"/>
      <c r="K15" s="33"/>
      <c r="L15" s="33"/>
      <c r="M15" s="33"/>
      <c r="N15" s="6" t="s">
        <v>23</v>
      </c>
    </row>
    <row r="16" spans="5:14" ht="17.399999999999999" customHeight="1" x14ac:dyDescent="0.35">
      <c r="E16" s="16"/>
      <c r="F16" s="33" t="s">
        <v>21</v>
      </c>
      <c r="G16" s="33"/>
      <c r="H16" s="33"/>
      <c r="I16" s="33"/>
      <c r="J16" s="33"/>
      <c r="K16" s="33"/>
      <c r="L16" s="33"/>
      <c r="M16" s="33"/>
      <c r="N16" s="6" t="s">
        <v>23</v>
      </c>
    </row>
    <row r="17" spans="5:14" ht="17.399999999999999" customHeight="1" x14ac:dyDescent="0.35">
      <c r="E17" s="16"/>
      <c r="F17" s="33" t="s">
        <v>24</v>
      </c>
      <c r="G17" s="33"/>
      <c r="H17" s="33"/>
      <c r="I17" s="33"/>
      <c r="J17" s="33"/>
      <c r="K17" s="33"/>
      <c r="L17" s="33"/>
      <c r="M17" s="33"/>
      <c r="N17" s="10"/>
    </row>
    <row r="18" spans="5:14" ht="17.399999999999999" customHeight="1" x14ac:dyDescent="0.35">
      <c r="E18" s="16"/>
      <c r="F18" s="13"/>
      <c r="G18" s="13"/>
      <c r="H18" s="13"/>
      <c r="I18" s="13"/>
      <c r="J18" s="13"/>
      <c r="K18" s="13"/>
      <c r="L18" s="13"/>
      <c r="M18" s="13"/>
      <c r="N18" s="10">
        <f>N14-N17</f>
        <v>366619.5</v>
      </c>
    </row>
    <row r="19" spans="5:14" ht="15.5" x14ac:dyDescent="0.35">
      <c r="E19" s="7"/>
      <c r="F19" s="34" t="s">
        <v>37</v>
      </c>
      <c r="G19" s="34"/>
      <c r="H19" s="34"/>
      <c r="I19" s="34"/>
      <c r="J19" s="34"/>
      <c r="K19" s="34"/>
      <c r="L19" s="34"/>
      <c r="M19" s="34"/>
      <c r="N19" s="34"/>
    </row>
    <row r="20" spans="5:14" ht="15.5" x14ac:dyDescent="0.35">
      <c r="E20" s="16"/>
      <c r="F20" s="22" t="s">
        <v>13</v>
      </c>
      <c r="G20" s="22"/>
      <c r="H20" s="22"/>
      <c r="I20" s="7"/>
      <c r="J20" s="7"/>
      <c r="K20" s="7"/>
      <c r="L20" s="7"/>
      <c r="M20" s="7"/>
      <c r="N20" s="11"/>
    </row>
    <row r="21" spans="5:14" ht="15.5" x14ac:dyDescent="0.35">
      <c r="E21" s="16"/>
      <c r="F21" s="22" t="s">
        <v>22</v>
      </c>
      <c r="G21" s="22"/>
      <c r="H21" s="22"/>
      <c r="I21" s="7"/>
      <c r="J21" s="7"/>
      <c r="K21" s="7"/>
      <c r="L21" s="7"/>
      <c r="M21" s="7"/>
      <c r="N21" s="11"/>
    </row>
    <row r="22" spans="5:14" ht="15.5" x14ac:dyDescent="0.35">
      <c r="E22" s="16"/>
      <c r="F22" s="22" t="s">
        <v>14</v>
      </c>
      <c r="G22" s="22"/>
      <c r="H22" s="22"/>
      <c r="I22" s="7"/>
      <c r="J22" s="7"/>
      <c r="K22" s="7"/>
      <c r="L22" s="7"/>
      <c r="M22" s="7"/>
      <c r="N22" s="18">
        <f>N18-N20-N21</f>
        <v>366619.5</v>
      </c>
    </row>
    <row r="23" spans="5:14" ht="15.5" x14ac:dyDescent="0.35"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5:14" x14ac:dyDescent="0.3"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spans="5:14" x14ac:dyDescent="0.3"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5:14" x14ac:dyDescent="0.3"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spans="5:14" x14ac:dyDescent="0.3">
      <c r="E27" s="24" t="s">
        <v>15</v>
      </c>
      <c r="F27" s="24"/>
      <c r="G27" s="24"/>
      <c r="H27" s="24"/>
      <c r="I27" s="24"/>
      <c r="J27" s="24"/>
      <c r="K27" s="24"/>
      <c r="L27" s="24"/>
      <c r="M27" s="24"/>
      <c r="N27" s="24"/>
    </row>
    <row r="28" spans="5:14" x14ac:dyDescent="0.3"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5:14" x14ac:dyDescent="0.3"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5:14" x14ac:dyDescent="0.3"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5:14" x14ac:dyDescent="0.3"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5:14" x14ac:dyDescent="0.3"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5:14" ht="15.5" x14ac:dyDescent="0.35"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5:14" ht="15.5" x14ac:dyDescent="0.35">
      <c r="E34" s="7"/>
      <c r="F34" s="7"/>
      <c r="G34" s="7"/>
      <c r="H34" s="7"/>
      <c r="I34" s="7"/>
      <c r="J34" s="7"/>
      <c r="K34" s="7"/>
      <c r="L34" s="7"/>
      <c r="M34" s="7"/>
      <c r="N34" s="7"/>
    </row>
  </sheetData>
  <mergeCells count="30">
    <mergeCell ref="E8:F8"/>
    <mergeCell ref="G8:N8"/>
    <mergeCell ref="E2:N2"/>
    <mergeCell ref="E4:F4"/>
    <mergeCell ref="G4:J4"/>
    <mergeCell ref="K4:M4"/>
    <mergeCell ref="E5:F5"/>
    <mergeCell ref="G5:N5"/>
    <mergeCell ref="E6:J6"/>
    <mergeCell ref="M6:N6"/>
    <mergeCell ref="E7:F7"/>
    <mergeCell ref="G7:J7"/>
    <mergeCell ref="M7:N7"/>
    <mergeCell ref="F21:H21"/>
    <mergeCell ref="E9:N9"/>
    <mergeCell ref="F10:H10"/>
    <mergeCell ref="F11:H11"/>
    <mergeCell ref="F12:H12"/>
    <mergeCell ref="F13:H13"/>
    <mergeCell ref="F14:M14"/>
    <mergeCell ref="F15:M15"/>
    <mergeCell ref="F16:M16"/>
    <mergeCell ref="F17:M17"/>
    <mergeCell ref="F19:N19"/>
    <mergeCell ref="F20:H20"/>
    <mergeCell ref="F22:H22"/>
    <mergeCell ref="E24:N26"/>
    <mergeCell ref="E27:N28"/>
    <mergeCell ref="E29:N30"/>
    <mergeCell ref="E31:N32"/>
  </mergeCells>
  <pageMargins left="0.7" right="0.7" top="0.75" bottom="0.75" header="0.3" footer="0.3"/>
  <pageSetup paperSize="9" scale="54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F6591-A9E4-4D43-86F0-ED8BDB1D3D91}">
  <sheetPr>
    <pageSetUpPr fitToPage="1"/>
  </sheetPr>
  <dimension ref="E2:N34"/>
  <sheetViews>
    <sheetView topLeftCell="A7" workbookViewId="0">
      <selection activeCell="F11" sqref="F11:H11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3" width="10.08984375" style="1" bestFit="1" customWidth="1"/>
    <col min="14" max="14" width="12.453125" style="1" customWidth="1"/>
    <col min="15" max="16384" width="8.6328125" style="1"/>
  </cols>
  <sheetData>
    <row r="2" spans="5:14" ht="17.5" x14ac:dyDescent="0.35">
      <c r="E2" s="20" t="s">
        <v>0</v>
      </c>
      <c r="F2" s="20"/>
      <c r="G2" s="20"/>
      <c r="H2" s="20"/>
      <c r="I2" s="20"/>
      <c r="J2" s="20"/>
      <c r="K2" s="20"/>
      <c r="L2" s="20"/>
      <c r="M2" s="20"/>
      <c r="N2" s="20"/>
    </row>
    <row r="3" spans="5:14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5:14" ht="15.5" x14ac:dyDescent="0.35">
      <c r="E4" s="21" t="s">
        <v>16</v>
      </c>
      <c r="F4" s="21"/>
      <c r="G4" s="22" t="s">
        <v>26</v>
      </c>
      <c r="H4" s="22"/>
      <c r="I4" s="22"/>
      <c r="J4" s="22"/>
      <c r="K4" s="23" t="s">
        <v>19</v>
      </c>
      <c r="L4" s="23"/>
      <c r="M4" s="23"/>
      <c r="N4" s="7">
        <v>3</v>
      </c>
    </row>
    <row r="5" spans="5:14" ht="18.899999999999999" customHeight="1" x14ac:dyDescent="0.3">
      <c r="E5" s="24" t="s">
        <v>1</v>
      </c>
      <c r="F5" s="24"/>
      <c r="G5" s="25" t="s">
        <v>25</v>
      </c>
      <c r="H5" s="25"/>
      <c r="I5" s="25"/>
      <c r="J5" s="25"/>
      <c r="K5" s="25"/>
      <c r="L5" s="25"/>
      <c r="M5" s="25"/>
      <c r="N5" s="25"/>
    </row>
    <row r="6" spans="5:14" ht="30.9" customHeight="1" x14ac:dyDescent="0.35">
      <c r="E6" s="26" t="s">
        <v>31</v>
      </c>
      <c r="F6" s="26"/>
      <c r="G6" s="26"/>
      <c r="H6" s="26"/>
      <c r="I6" s="26"/>
      <c r="J6" s="26"/>
      <c r="K6" s="8" t="s">
        <v>2</v>
      </c>
      <c r="L6" s="8"/>
      <c r="M6" s="27">
        <v>45450</v>
      </c>
      <c r="N6" s="28"/>
    </row>
    <row r="7" spans="5:14" ht="20.149999999999999" customHeight="1" x14ac:dyDescent="0.3">
      <c r="E7" s="29" t="s">
        <v>3</v>
      </c>
      <c r="F7" s="29"/>
      <c r="G7" s="30" t="s">
        <v>27</v>
      </c>
      <c r="H7" s="30"/>
      <c r="I7" s="30"/>
      <c r="J7" s="30"/>
      <c r="K7" s="14" t="s">
        <v>17</v>
      </c>
      <c r="L7" s="14"/>
      <c r="M7" s="27">
        <v>45448</v>
      </c>
      <c r="N7" s="28"/>
    </row>
    <row r="8" spans="5:14" ht="18.899999999999999" customHeight="1" x14ac:dyDescent="0.3">
      <c r="E8" s="24" t="s">
        <v>5</v>
      </c>
      <c r="F8" s="24"/>
      <c r="G8" s="25" t="s">
        <v>28</v>
      </c>
      <c r="H8" s="25"/>
      <c r="I8" s="25"/>
      <c r="J8" s="25"/>
      <c r="K8" s="25"/>
      <c r="L8" s="25"/>
      <c r="M8" s="25"/>
      <c r="N8" s="25"/>
    </row>
    <row r="9" spans="5:14" ht="20.399999999999999" customHeight="1" x14ac:dyDescent="0.3">
      <c r="E9" s="24" t="s">
        <v>4</v>
      </c>
      <c r="F9" s="24"/>
      <c r="G9" s="24"/>
      <c r="H9" s="24"/>
      <c r="I9" s="24"/>
      <c r="J9" s="24"/>
      <c r="K9" s="24"/>
      <c r="L9" s="24"/>
      <c r="M9" s="24"/>
      <c r="N9" s="24"/>
    </row>
    <row r="10" spans="5:14" ht="30" x14ac:dyDescent="0.3">
      <c r="E10" s="2" t="s">
        <v>12</v>
      </c>
      <c r="F10" s="31" t="s">
        <v>6</v>
      </c>
      <c r="G10" s="31"/>
      <c r="H10" s="31"/>
      <c r="I10" s="3" t="s">
        <v>7</v>
      </c>
      <c r="J10" s="13" t="s">
        <v>8</v>
      </c>
      <c r="K10" s="13" t="s">
        <v>9</v>
      </c>
      <c r="L10" s="2" t="s">
        <v>29</v>
      </c>
      <c r="M10" s="14" t="s">
        <v>10</v>
      </c>
      <c r="N10" s="13" t="s">
        <v>11</v>
      </c>
    </row>
    <row r="11" spans="5:14" ht="33.9" customHeight="1" x14ac:dyDescent="0.3">
      <c r="E11" s="4">
        <v>1</v>
      </c>
      <c r="F11" s="30" t="s">
        <v>38</v>
      </c>
      <c r="G11" s="30"/>
      <c r="H11" s="30"/>
      <c r="I11" s="5">
        <v>1</v>
      </c>
      <c r="J11" s="12">
        <v>3456</v>
      </c>
      <c r="K11" s="17" t="s">
        <v>39</v>
      </c>
      <c r="L11" s="4">
        <v>1</v>
      </c>
      <c r="M11" s="4">
        <v>55</v>
      </c>
      <c r="N11" s="9">
        <f>J11*L11*M11*I11</f>
        <v>190080</v>
      </c>
    </row>
    <row r="12" spans="5:14" ht="33.9" customHeight="1" x14ac:dyDescent="0.3">
      <c r="E12" s="4">
        <v>2</v>
      </c>
      <c r="F12" s="30" t="s">
        <v>40</v>
      </c>
      <c r="G12" s="30"/>
      <c r="H12" s="30"/>
      <c r="I12" s="5">
        <v>1</v>
      </c>
      <c r="J12" s="19">
        <v>182</v>
      </c>
      <c r="K12" s="17" t="s">
        <v>41</v>
      </c>
      <c r="L12" s="4">
        <v>1</v>
      </c>
      <c r="M12" s="4">
        <v>12</v>
      </c>
      <c r="N12" s="9">
        <f>J12*L12*M12*I12</f>
        <v>2184</v>
      </c>
    </row>
    <row r="13" spans="5:14" ht="33.9" customHeight="1" x14ac:dyDescent="0.3">
      <c r="E13" s="4">
        <v>3</v>
      </c>
      <c r="F13" s="30" t="s">
        <v>42</v>
      </c>
      <c r="G13" s="30"/>
      <c r="H13" s="30"/>
      <c r="I13" s="5">
        <v>1</v>
      </c>
      <c r="J13" s="12">
        <v>2912.25</v>
      </c>
      <c r="K13" s="17" t="s">
        <v>43</v>
      </c>
      <c r="L13" s="4">
        <v>23</v>
      </c>
      <c r="M13" s="4">
        <v>6.75</v>
      </c>
      <c r="N13" s="9">
        <f>J13*L13*M13*I13</f>
        <v>452126.8125</v>
      </c>
    </row>
    <row r="14" spans="5:14" ht="17.399999999999999" customHeight="1" x14ac:dyDescent="0.35">
      <c r="E14" s="16"/>
      <c r="F14" s="32" t="s">
        <v>18</v>
      </c>
      <c r="G14" s="32"/>
      <c r="H14" s="32"/>
      <c r="I14" s="32"/>
      <c r="J14" s="32"/>
      <c r="K14" s="32"/>
      <c r="L14" s="32"/>
      <c r="M14" s="32"/>
      <c r="N14" s="10">
        <f>SUM(N11:N13)</f>
        <v>644390.8125</v>
      </c>
    </row>
    <row r="15" spans="5:14" ht="17.399999999999999" customHeight="1" x14ac:dyDescent="0.35">
      <c r="E15" s="16"/>
      <c r="F15" s="33" t="s">
        <v>20</v>
      </c>
      <c r="G15" s="33"/>
      <c r="H15" s="33"/>
      <c r="I15" s="33"/>
      <c r="J15" s="33"/>
      <c r="K15" s="33"/>
      <c r="L15" s="33"/>
      <c r="M15" s="33"/>
      <c r="N15" s="6" t="s">
        <v>23</v>
      </c>
    </row>
    <row r="16" spans="5:14" ht="17.399999999999999" customHeight="1" x14ac:dyDescent="0.35">
      <c r="E16" s="16"/>
      <c r="F16" s="33" t="s">
        <v>21</v>
      </c>
      <c r="G16" s="33"/>
      <c r="H16" s="33"/>
      <c r="I16" s="33"/>
      <c r="J16" s="33"/>
      <c r="K16" s="33"/>
      <c r="L16" s="33"/>
      <c r="M16" s="33"/>
      <c r="N16" s="6" t="s">
        <v>23</v>
      </c>
    </row>
    <row r="17" spans="5:14" ht="17.399999999999999" customHeight="1" x14ac:dyDescent="0.35">
      <c r="E17" s="16"/>
      <c r="F17" s="33" t="s">
        <v>24</v>
      </c>
      <c r="G17" s="33"/>
      <c r="H17" s="33"/>
      <c r="I17" s="33"/>
      <c r="J17" s="33"/>
      <c r="K17" s="33"/>
      <c r="L17" s="33"/>
      <c r="M17" s="33"/>
      <c r="N17" s="10"/>
    </row>
    <row r="18" spans="5:14" ht="17.399999999999999" customHeight="1" x14ac:dyDescent="0.35">
      <c r="E18" s="16"/>
      <c r="F18" s="13"/>
      <c r="G18" s="13"/>
      <c r="H18" s="13"/>
      <c r="I18" s="13"/>
      <c r="J18" s="13"/>
      <c r="K18" s="13"/>
      <c r="L18" s="13"/>
      <c r="M18" s="13"/>
      <c r="N18" s="10">
        <f>N14-N17</f>
        <v>644390.8125</v>
      </c>
    </row>
    <row r="19" spans="5:14" ht="15.5" x14ac:dyDescent="0.35">
      <c r="E19" s="7"/>
      <c r="F19" s="34" t="s">
        <v>44</v>
      </c>
      <c r="G19" s="34"/>
      <c r="H19" s="34"/>
      <c r="I19" s="34"/>
      <c r="J19" s="34"/>
      <c r="K19" s="34"/>
      <c r="L19" s="34"/>
      <c r="M19" s="34"/>
      <c r="N19" s="34"/>
    </row>
    <row r="20" spans="5:14" ht="15.5" x14ac:dyDescent="0.35">
      <c r="E20" s="16"/>
      <c r="F20" s="22" t="s">
        <v>13</v>
      </c>
      <c r="G20" s="22"/>
      <c r="H20" s="22"/>
      <c r="I20" s="7"/>
      <c r="J20" s="7"/>
      <c r="K20" s="7"/>
      <c r="L20" s="7"/>
      <c r="M20" s="7"/>
      <c r="N20" s="11"/>
    </row>
    <row r="21" spans="5:14" ht="15.5" x14ac:dyDescent="0.35">
      <c r="E21" s="16"/>
      <c r="F21" s="22" t="s">
        <v>22</v>
      </c>
      <c r="G21" s="22"/>
      <c r="H21" s="22"/>
      <c r="I21" s="7"/>
      <c r="J21" s="7"/>
      <c r="K21" s="7"/>
      <c r="L21" s="7"/>
      <c r="M21" s="7"/>
      <c r="N21" s="11"/>
    </row>
    <row r="22" spans="5:14" ht="15.5" x14ac:dyDescent="0.35">
      <c r="E22" s="16"/>
      <c r="F22" s="22" t="s">
        <v>14</v>
      </c>
      <c r="G22" s="22"/>
      <c r="H22" s="22"/>
      <c r="I22" s="7"/>
      <c r="J22" s="7"/>
      <c r="K22" s="7"/>
      <c r="L22" s="7"/>
      <c r="M22" s="7"/>
      <c r="N22" s="18">
        <f>N18-N20-N21</f>
        <v>644390.8125</v>
      </c>
    </row>
    <row r="23" spans="5:14" ht="15.5" x14ac:dyDescent="0.35"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5:14" x14ac:dyDescent="0.3"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spans="5:14" x14ac:dyDescent="0.3"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5:14" x14ac:dyDescent="0.3"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spans="5:14" x14ac:dyDescent="0.3">
      <c r="E27" s="24" t="s">
        <v>15</v>
      </c>
      <c r="F27" s="24"/>
      <c r="G27" s="24"/>
      <c r="H27" s="24"/>
      <c r="I27" s="24"/>
      <c r="J27" s="24"/>
      <c r="K27" s="24"/>
      <c r="L27" s="24"/>
      <c r="M27" s="24"/>
      <c r="N27" s="24"/>
    </row>
    <row r="28" spans="5:14" x14ac:dyDescent="0.3"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5:14" x14ac:dyDescent="0.3"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5:14" x14ac:dyDescent="0.3"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5:14" x14ac:dyDescent="0.3"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5:14" x14ac:dyDescent="0.3"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5:14" ht="15.5" x14ac:dyDescent="0.35"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5:14" ht="15.5" x14ac:dyDescent="0.35">
      <c r="E34" s="7"/>
      <c r="F34" s="7"/>
      <c r="G34" s="7"/>
      <c r="H34" s="7"/>
      <c r="I34" s="7"/>
      <c r="J34" s="7"/>
      <c r="K34" s="7"/>
      <c r="L34" s="7"/>
      <c r="M34" s="7"/>
      <c r="N34" s="7"/>
    </row>
  </sheetData>
  <mergeCells count="30">
    <mergeCell ref="E8:F8"/>
    <mergeCell ref="G8:N8"/>
    <mergeCell ref="E2:N2"/>
    <mergeCell ref="E4:F4"/>
    <mergeCell ref="G4:J4"/>
    <mergeCell ref="K4:M4"/>
    <mergeCell ref="E5:F5"/>
    <mergeCell ref="G5:N5"/>
    <mergeCell ref="E6:J6"/>
    <mergeCell ref="M6:N6"/>
    <mergeCell ref="E7:F7"/>
    <mergeCell ref="G7:J7"/>
    <mergeCell ref="M7:N7"/>
    <mergeCell ref="F21:H21"/>
    <mergeCell ref="E9:N9"/>
    <mergeCell ref="F10:H10"/>
    <mergeCell ref="F11:H11"/>
    <mergeCell ref="F12:H12"/>
    <mergeCell ref="F13:H13"/>
    <mergeCell ref="F14:M14"/>
    <mergeCell ref="F15:M15"/>
    <mergeCell ref="F16:M16"/>
    <mergeCell ref="F17:M17"/>
    <mergeCell ref="F19:N19"/>
    <mergeCell ref="F20:H20"/>
    <mergeCell ref="F22:H22"/>
    <mergeCell ref="E24:N26"/>
    <mergeCell ref="E27:N28"/>
    <mergeCell ref="E29:N30"/>
    <mergeCell ref="E31:N32"/>
  </mergeCells>
  <pageMargins left="0.7" right="0.7" top="0.75" bottom="0.75" header="0.3" footer="0.3"/>
  <pageSetup paperSize="9" scale="54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B790-6BBC-49E7-8318-F73B71F25296}">
  <sheetPr>
    <pageSetUpPr fitToPage="1"/>
  </sheetPr>
  <dimension ref="E2:N34"/>
  <sheetViews>
    <sheetView topLeftCell="B10" workbookViewId="0">
      <selection activeCell="F13" sqref="F13:H13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3" width="10.08984375" style="1" bestFit="1" customWidth="1"/>
    <col min="14" max="14" width="12.453125" style="1" customWidth="1"/>
    <col min="15" max="16384" width="8.6328125" style="1"/>
  </cols>
  <sheetData>
    <row r="2" spans="5:14" ht="17.5" x14ac:dyDescent="0.35">
      <c r="E2" s="20" t="s">
        <v>0</v>
      </c>
      <c r="F2" s="20"/>
      <c r="G2" s="20"/>
      <c r="H2" s="20"/>
      <c r="I2" s="20"/>
      <c r="J2" s="20"/>
      <c r="K2" s="20"/>
      <c r="L2" s="20"/>
      <c r="M2" s="20"/>
      <c r="N2" s="20"/>
    </row>
    <row r="3" spans="5:14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5:14" ht="15.5" x14ac:dyDescent="0.35">
      <c r="E4" s="21" t="s">
        <v>16</v>
      </c>
      <c r="F4" s="21"/>
      <c r="G4" s="22" t="s">
        <v>45</v>
      </c>
      <c r="H4" s="22"/>
      <c r="I4" s="22"/>
      <c r="J4" s="22"/>
      <c r="K4" s="23" t="s">
        <v>19</v>
      </c>
      <c r="L4" s="23"/>
      <c r="M4" s="23"/>
      <c r="N4" s="7">
        <v>4</v>
      </c>
    </row>
    <row r="5" spans="5:14" ht="18.899999999999999" customHeight="1" x14ac:dyDescent="0.3">
      <c r="E5" s="24" t="s">
        <v>1</v>
      </c>
      <c r="F5" s="24"/>
      <c r="G5" s="25" t="s">
        <v>25</v>
      </c>
      <c r="H5" s="25"/>
      <c r="I5" s="25"/>
      <c r="J5" s="25"/>
      <c r="K5" s="25"/>
      <c r="L5" s="25"/>
      <c r="M5" s="25"/>
      <c r="N5" s="25"/>
    </row>
    <row r="6" spans="5:14" ht="30.9" customHeight="1" x14ac:dyDescent="0.35">
      <c r="E6" s="26" t="s">
        <v>31</v>
      </c>
      <c r="F6" s="26"/>
      <c r="G6" s="26"/>
      <c r="H6" s="26"/>
      <c r="I6" s="26"/>
      <c r="J6" s="26"/>
      <c r="K6" s="8" t="s">
        <v>2</v>
      </c>
      <c r="L6" s="8"/>
      <c r="M6" s="27">
        <v>45521</v>
      </c>
      <c r="N6" s="28"/>
    </row>
    <row r="7" spans="5:14" ht="20.149999999999999" customHeight="1" x14ac:dyDescent="0.3">
      <c r="E7" s="29" t="s">
        <v>3</v>
      </c>
      <c r="F7" s="29"/>
      <c r="G7" s="30" t="s">
        <v>27</v>
      </c>
      <c r="H7" s="30"/>
      <c r="I7" s="30"/>
      <c r="J7" s="30"/>
      <c r="K7" s="14" t="s">
        <v>17</v>
      </c>
      <c r="L7" s="14"/>
      <c r="M7" s="27">
        <v>45509</v>
      </c>
      <c r="N7" s="28"/>
    </row>
    <row r="8" spans="5:14" ht="18.899999999999999" customHeight="1" x14ac:dyDescent="0.3">
      <c r="E8" s="24" t="s">
        <v>5</v>
      </c>
      <c r="F8" s="24"/>
      <c r="G8" s="25" t="s">
        <v>28</v>
      </c>
      <c r="H8" s="25"/>
      <c r="I8" s="25"/>
      <c r="J8" s="25"/>
      <c r="K8" s="25"/>
      <c r="L8" s="25"/>
      <c r="M8" s="25"/>
      <c r="N8" s="25"/>
    </row>
    <row r="9" spans="5:14" ht="20.399999999999999" customHeight="1" x14ac:dyDescent="0.3">
      <c r="E9" s="24" t="s">
        <v>4</v>
      </c>
      <c r="F9" s="24"/>
      <c r="G9" s="24"/>
      <c r="H9" s="24"/>
      <c r="I9" s="24"/>
      <c r="J9" s="24"/>
      <c r="K9" s="24"/>
      <c r="L9" s="24"/>
      <c r="M9" s="24"/>
      <c r="N9" s="24"/>
    </row>
    <row r="10" spans="5:14" ht="30" x14ac:dyDescent="0.3">
      <c r="E10" s="2" t="s">
        <v>12</v>
      </c>
      <c r="F10" s="31" t="s">
        <v>6</v>
      </c>
      <c r="G10" s="31"/>
      <c r="H10" s="31"/>
      <c r="I10" s="3" t="s">
        <v>7</v>
      </c>
      <c r="J10" s="13" t="s">
        <v>8</v>
      </c>
      <c r="K10" s="13" t="s">
        <v>9</v>
      </c>
      <c r="L10" s="2" t="s">
        <v>29</v>
      </c>
      <c r="M10" s="14" t="s">
        <v>10</v>
      </c>
      <c r="N10" s="13" t="s">
        <v>11</v>
      </c>
    </row>
    <row r="11" spans="5:14" ht="33.9" customHeight="1" x14ac:dyDescent="0.3">
      <c r="E11" s="4">
        <v>1</v>
      </c>
      <c r="F11" s="30" t="s">
        <v>46</v>
      </c>
      <c r="G11" s="30"/>
      <c r="H11" s="30"/>
      <c r="I11" s="5">
        <v>1</v>
      </c>
      <c r="J11" s="12">
        <v>3456</v>
      </c>
      <c r="K11" s="17" t="s">
        <v>39</v>
      </c>
      <c r="L11" s="4">
        <v>1</v>
      </c>
      <c r="M11" s="4">
        <v>55</v>
      </c>
      <c r="N11" s="9">
        <f>J11*L11*M11*I11</f>
        <v>190080</v>
      </c>
    </row>
    <row r="12" spans="5:14" ht="33.9" customHeight="1" x14ac:dyDescent="0.3">
      <c r="E12" s="4">
        <v>2</v>
      </c>
      <c r="F12" s="30" t="s">
        <v>47</v>
      </c>
      <c r="G12" s="30"/>
      <c r="H12" s="30"/>
      <c r="I12" s="5">
        <v>1</v>
      </c>
      <c r="J12" s="19">
        <v>182</v>
      </c>
      <c r="K12" s="17" t="s">
        <v>41</v>
      </c>
      <c r="L12" s="4">
        <v>1</v>
      </c>
      <c r="M12" s="4">
        <v>12</v>
      </c>
      <c r="N12" s="9">
        <f>J12*L12*M12*I12</f>
        <v>2184</v>
      </c>
    </row>
    <row r="13" spans="5:14" ht="33.9" customHeight="1" x14ac:dyDescent="0.3">
      <c r="E13" s="4">
        <v>3</v>
      </c>
      <c r="F13" s="30" t="s">
        <v>48</v>
      </c>
      <c r="G13" s="30"/>
      <c r="H13" s="30"/>
      <c r="I13" s="5">
        <v>1</v>
      </c>
      <c r="J13" s="12">
        <v>2823.6875</v>
      </c>
      <c r="K13" s="17" t="s">
        <v>43</v>
      </c>
      <c r="L13" s="4">
        <v>21</v>
      </c>
      <c r="M13" s="4">
        <v>6.75</v>
      </c>
      <c r="N13" s="9">
        <f>J13*L13*M13*I13</f>
        <v>400257.703125</v>
      </c>
    </row>
    <row r="14" spans="5:14" ht="17.399999999999999" customHeight="1" x14ac:dyDescent="0.35">
      <c r="E14" s="16"/>
      <c r="F14" s="32" t="s">
        <v>18</v>
      </c>
      <c r="G14" s="32"/>
      <c r="H14" s="32"/>
      <c r="I14" s="32"/>
      <c r="J14" s="32"/>
      <c r="K14" s="32"/>
      <c r="L14" s="32"/>
      <c r="M14" s="32"/>
      <c r="N14" s="10">
        <f>SUM(N11:N13)</f>
        <v>592521.703125</v>
      </c>
    </row>
    <row r="15" spans="5:14" ht="17.399999999999999" customHeight="1" x14ac:dyDescent="0.35">
      <c r="E15" s="16"/>
      <c r="F15" s="33" t="s">
        <v>20</v>
      </c>
      <c r="G15" s="33"/>
      <c r="H15" s="33"/>
      <c r="I15" s="33"/>
      <c r="J15" s="33"/>
      <c r="K15" s="33"/>
      <c r="L15" s="33"/>
      <c r="M15" s="33"/>
      <c r="N15" s="6" t="s">
        <v>23</v>
      </c>
    </row>
    <row r="16" spans="5:14" ht="17.399999999999999" customHeight="1" x14ac:dyDescent="0.35">
      <c r="E16" s="16"/>
      <c r="F16" s="33" t="s">
        <v>21</v>
      </c>
      <c r="G16" s="33"/>
      <c r="H16" s="33"/>
      <c r="I16" s="33"/>
      <c r="J16" s="33"/>
      <c r="K16" s="33"/>
      <c r="L16" s="33"/>
      <c r="M16" s="33"/>
      <c r="N16" s="6" t="s">
        <v>23</v>
      </c>
    </row>
    <row r="17" spans="5:14" ht="17.399999999999999" customHeight="1" x14ac:dyDescent="0.35">
      <c r="E17" s="16"/>
      <c r="F17" s="33" t="s">
        <v>24</v>
      </c>
      <c r="G17" s="33"/>
      <c r="H17" s="33"/>
      <c r="I17" s="33"/>
      <c r="J17" s="33"/>
      <c r="K17" s="33"/>
      <c r="L17" s="33"/>
      <c r="M17" s="33"/>
      <c r="N17" s="10"/>
    </row>
    <row r="18" spans="5:14" ht="17.399999999999999" customHeight="1" x14ac:dyDescent="0.35">
      <c r="E18" s="16"/>
      <c r="F18" s="13"/>
      <c r="G18" s="13"/>
      <c r="H18" s="13"/>
      <c r="I18" s="13"/>
      <c r="J18" s="13"/>
      <c r="K18" s="13"/>
      <c r="L18" s="13"/>
      <c r="M18" s="13"/>
      <c r="N18" s="10">
        <f>N14-N17</f>
        <v>592521.703125</v>
      </c>
    </row>
    <row r="19" spans="5:14" ht="15.5" x14ac:dyDescent="0.35">
      <c r="E19" s="7"/>
      <c r="F19" s="34" t="s">
        <v>49</v>
      </c>
      <c r="G19" s="34"/>
      <c r="H19" s="34"/>
      <c r="I19" s="34"/>
      <c r="J19" s="34"/>
      <c r="K19" s="34"/>
      <c r="L19" s="34"/>
      <c r="M19" s="34"/>
      <c r="N19" s="34"/>
    </row>
    <row r="20" spans="5:14" ht="15.5" x14ac:dyDescent="0.35">
      <c r="E20" s="16"/>
      <c r="F20" s="22" t="s">
        <v>13</v>
      </c>
      <c r="G20" s="22"/>
      <c r="H20" s="22"/>
      <c r="I20" s="7"/>
      <c r="J20" s="7"/>
      <c r="K20" s="7"/>
      <c r="L20" s="7"/>
      <c r="M20" s="7"/>
      <c r="N20" s="11"/>
    </row>
    <row r="21" spans="5:14" ht="15.5" x14ac:dyDescent="0.35">
      <c r="E21" s="16"/>
      <c r="F21" s="22" t="s">
        <v>22</v>
      </c>
      <c r="G21" s="22"/>
      <c r="H21" s="22"/>
      <c r="I21" s="7"/>
      <c r="J21" s="7"/>
      <c r="K21" s="7"/>
      <c r="L21" s="7"/>
      <c r="M21" s="7"/>
      <c r="N21" s="11"/>
    </row>
    <row r="22" spans="5:14" ht="15.5" x14ac:dyDescent="0.35">
      <c r="E22" s="16"/>
      <c r="F22" s="22" t="s">
        <v>14</v>
      </c>
      <c r="G22" s="22"/>
      <c r="H22" s="22"/>
      <c r="I22" s="7"/>
      <c r="J22" s="7"/>
      <c r="K22" s="7"/>
      <c r="L22" s="7"/>
      <c r="M22" s="7"/>
      <c r="N22" s="18">
        <f>N18-N20-N21</f>
        <v>592521.703125</v>
      </c>
    </row>
    <row r="23" spans="5:14" ht="15.5" x14ac:dyDescent="0.35"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5:14" x14ac:dyDescent="0.3"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spans="5:14" x14ac:dyDescent="0.3"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5:14" x14ac:dyDescent="0.3"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spans="5:14" x14ac:dyDescent="0.3">
      <c r="E27" s="24" t="s">
        <v>15</v>
      </c>
      <c r="F27" s="24"/>
      <c r="G27" s="24"/>
      <c r="H27" s="24"/>
      <c r="I27" s="24"/>
      <c r="J27" s="24"/>
      <c r="K27" s="24"/>
      <c r="L27" s="24"/>
      <c r="M27" s="24"/>
      <c r="N27" s="24"/>
    </row>
    <row r="28" spans="5:14" x14ac:dyDescent="0.3"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5:14" x14ac:dyDescent="0.3"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5:14" x14ac:dyDescent="0.3"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5:14" x14ac:dyDescent="0.3"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5:14" x14ac:dyDescent="0.3"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5:14" ht="15.5" x14ac:dyDescent="0.35"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5:14" ht="15.5" x14ac:dyDescent="0.35">
      <c r="E34" s="7"/>
      <c r="F34" s="7"/>
      <c r="G34" s="7"/>
      <c r="H34" s="7"/>
      <c r="I34" s="7"/>
      <c r="J34" s="7"/>
      <c r="K34" s="7"/>
      <c r="L34" s="7"/>
      <c r="M34" s="7"/>
      <c r="N34" s="7"/>
    </row>
  </sheetData>
  <mergeCells count="30">
    <mergeCell ref="F22:H22"/>
    <mergeCell ref="E24:N26"/>
    <mergeCell ref="E27:N28"/>
    <mergeCell ref="E29:N30"/>
    <mergeCell ref="E31:N32"/>
    <mergeCell ref="F21:H21"/>
    <mergeCell ref="E9:N9"/>
    <mergeCell ref="F10:H10"/>
    <mergeCell ref="F11:H11"/>
    <mergeCell ref="F12:H12"/>
    <mergeCell ref="F13:H13"/>
    <mergeCell ref="F14:M14"/>
    <mergeCell ref="F15:M15"/>
    <mergeCell ref="F16:M16"/>
    <mergeCell ref="F17:M17"/>
    <mergeCell ref="F19:N19"/>
    <mergeCell ref="F20:H20"/>
    <mergeCell ref="E8:F8"/>
    <mergeCell ref="G8:N8"/>
    <mergeCell ref="E2:N2"/>
    <mergeCell ref="E4:F4"/>
    <mergeCell ref="G4:J4"/>
    <mergeCell ref="K4:M4"/>
    <mergeCell ref="E5:F5"/>
    <mergeCell ref="G5:N5"/>
    <mergeCell ref="E6:J6"/>
    <mergeCell ref="M6:N6"/>
    <mergeCell ref="E7:F7"/>
    <mergeCell ref="G7:J7"/>
    <mergeCell ref="M7:N7"/>
  </mergeCells>
  <pageMargins left="0.7" right="0.7" top="0.75" bottom="0.75" header="0.3" footer="0.3"/>
  <pageSetup paperSize="9" scale="54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6AA3-8FEB-45A3-8506-4B594F950A5E}">
  <sheetPr>
    <pageSetUpPr fitToPage="1"/>
  </sheetPr>
  <dimension ref="E2:N36"/>
  <sheetViews>
    <sheetView topLeftCell="B9" workbookViewId="0">
      <selection activeCell="E2" sqref="E2:N34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3" width="10.08984375" style="1" bestFit="1" customWidth="1"/>
    <col min="14" max="14" width="12.453125" style="1" customWidth="1"/>
    <col min="15" max="16384" width="8.6328125" style="1"/>
  </cols>
  <sheetData>
    <row r="2" spans="5:14" ht="17.5" x14ac:dyDescent="0.35">
      <c r="E2" s="20" t="s">
        <v>0</v>
      </c>
      <c r="F2" s="20"/>
      <c r="G2" s="20"/>
      <c r="H2" s="20"/>
      <c r="I2" s="20"/>
      <c r="J2" s="20"/>
      <c r="K2" s="20"/>
      <c r="L2" s="20"/>
      <c r="M2" s="20"/>
      <c r="N2" s="20"/>
    </row>
    <row r="3" spans="5:14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5:14" ht="15.5" x14ac:dyDescent="0.35">
      <c r="E4" s="21" t="s">
        <v>16</v>
      </c>
      <c r="F4" s="21"/>
      <c r="G4" s="22" t="s">
        <v>45</v>
      </c>
      <c r="H4" s="22"/>
      <c r="I4" s="22"/>
      <c r="J4" s="22"/>
      <c r="K4" s="23" t="s">
        <v>19</v>
      </c>
      <c r="L4" s="23"/>
      <c r="M4" s="23"/>
      <c r="N4" s="7">
        <v>5</v>
      </c>
    </row>
    <row r="5" spans="5:14" ht="18.899999999999999" customHeight="1" x14ac:dyDescent="0.3">
      <c r="E5" s="24" t="s">
        <v>1</v>
      </c>
      <c r="F5" s="24"/>
      <c r="G5" s="25" t="s">
        <v>25</v>
      </c>
      <c r="H5" s="25"/>
      <c r="I5" s="25"/>
      <c r="J5" s="25"/>
      <c r="K5" s="25"/>
      <c r="L5" s="25"/>
      <c r="M5" s="25"/>
      <c r="N5" s="25"/>
    </row>
    <row r="6" spans="5:14" ht="30.9" customHeight="1" x14ac:dyDescent="0.35">
      <c r="E6" s="26" t="s">
        <v>31</v>
      </c>
      <c r="F6" s="26"/>
      <c r="G6" s="26"/>
      <c r="H6" s="26"/>
      <c r="I6" s="26"/>
      <c r="J6" s="26"/>
      <c r="K6" s="8" t="s">
        <v>2</v>
      </c>
      <c r="L6" s="8"/>
      <c r="M6" s="27">
        <v>45561</v>
      </c>
      <c r="N6" s="28"/>
    </row>
    <row r="7" spans="5:14" ht="20.149999999999999" customHeight="1" x14ac:dyDescent="0.3">
      <c r="E7" s="29" t="s">
        <v>3</v>
      </c>
      <c r="F7" s="29"/>
      <c r="G7" s="30" t="s">
        <v>27</v>
      </c>
      <c r="H7" s="30"/>
      <c r="I7" s="30"/>
      <c r="J7" s="30"/>
      <c r="K7" s="14" t="s">
        <v>17</v>
      </c>
      <c r="L7" s="14"/>
      <c r="M7" s="27">
        <v>45561</v>
      </c>
      <c r="N7" s="28"/>
    </row>
    <row r="8" spans="5:14" ht="18.899999999999999" customHeight="1" x14ac:dyDescent="0.3">
      <c r="E8" s="24" t="s">
        <v>5</v>
      </c>
      <c r="F8" s="24"/>
      <c r="G8" s="25" t="s">
        <v>28</v>
      </c>
      <c r="H8" s="25"/>
      <c r="I8" s="25"/>
      <c r="J8" s="25"/>
      <c r="K8" s="25"/>
      <c r="L8" s="25"/>
      <c r="M8" s="25"/>
      <c r="N8" s="25"/>
    </row>
    <row r="9" spans="5:14" ht="20.399999999999999" customHeight="1" x14ac:dyDescent="0.3">
      <c r="E9" s="24" t="s">
        <v>4</v>
      </c>
      <c r="F9" s="24"/>
      <c r="G9" s="24"/>
      <c r="H9" s="24"/>
      <c r="I9" s="24"/>
      <c r="J9" s="24"/>
      <c r="K9" s="24"/>
      <c r="L9" s="24"/>
      <c r="M9" s="24"/>
      <c r="N9" s="24"/>
    </row>
    <row r="10" spans="5:14" ht="30" x14ac:dyDescent="0.3">
      <c r="E10" s="2" t="s">
        <v>12</v>
      </c>
      <c r="F10" s="31" t="s">
        <v>6</v>
      </c>
      <c r="G10" s="31"/>
      <c r="H10" s="31"/>
      <c r="I10" s="3" t="s">
        <v>7</v>
      </c>
      <c r="J10" s="13" t="s">
        <v>8</v>
      </c>
      <c r="K10" s="13" t="s">
        <v>9</v>
      </c>
      <c r="L10" s="2" t="s">
        <v>29</v>
      </c>
      <c r="M10" s="14" t="s">
        <v>10</v>
      </c>
      <c r="N10" s="13" t="s">
        <v>11</v>
      </c>
    </row>
    <row r="11" spans="5:14" ht="33.9" customHeight="1" x14ac:dyDescent="0.3">
      <c r="E11" s="4">
        <v>1</v>
      </c>
      <c r="F11" s="30" t="s">
        <v>50</v>
      </c>
      <c r="G11" s="30"/>
      <c r="H11" s="30"/>
      <c r="I11" s="5">
        <v>1</v>
      </c>
      <c r="J11" s="12">
        <v>2801.45</v>
      </c>
      <c r="K11" s="17" t="s">
        <v>39</v>
      </c>
      <c r="L11" s="4">
        <v>11</v>
      </c>
      <c r="M11" s="4">
        <v>6.75</v>
      </c>
      <c r="N11" s="9">
        <f>J11*L11*M11*I11</f>
        <v>208007.66249999998</v>
      </c>
    </row>
    <row r="12" spans="5:14" ht="33.9" customHeight="1" x14ac:dyDescent="0.3">
      <c r="E12" s="4">
        <v>2</v>
      </c>
      <c r="F12" s="30" t="s">
        <v>51</v>
      </c>
      <c r="G12" s="30"/>
      <c r="H12" s="30"/>
      <c r="I12" s="5">
        <v>1</v>
      </c>
      <c r="J12" s="19">
        <v>2886</v>
      </c>
      <c r="K12" s="17" t="s">
        <v>41</v>
      </c>
      <c r="L12" s="4">
        <v>13</v>
      </c>
      <c r="M12" s="4">
        <v>6.75</v>
      </c>
      <c r="N12" s="9">
        <f>J12*L12*M12*I12</f>
        <v>253246.5</v>
      </c>
    </row>
    <row r="13" spans="5:14" ht="33.9" customHeight="1" x14ac:dyDescent="0.3">
      <c r="E13" s="4">
        <v>3</v>
      </c>
      <c r="F13" s="30" t="s">
        <v>54</v>
      </c>
      <c r="G13" s="30"/>
      <c r="H13" s="30"/>
      <c r="I13" s="5">
        <v>1</v>
      </c>
      <c r="J13" s="19">
        <v>4.5</v>
      </c>
      <c r="K13" s="17" t="s">
        <v>39</v>
      </c>
      <c r="L13" s="4">
        <v>13</v>
      </c>
      <c r="M13" s="4">
        <v>55</v>
      </c>
      <c r="N13" s="9">
        <f>J13*L13*M13*I13</f>
        <v>3217.5</v>
      </c>
    </row>
    <row r="14" spans="5:14" ht="33.9" customHeight="1" x14ac:dyDescent="0.3">
      <c r="E14" s="4">
        <v>4</v>
      </c>
      <c r="F14" s="30" t="s">
        <v>53</v>
      </c>
      <c r="G14" s="30"/>
      <c r="H14" s="30"/>
      <c r="I14" s="5">
        <v>1</v>
      </c>
      <c r="J14" s="19">
        <v>2886</v>
      </c>
      <c r="K14" s="17" t="s">
        <v>41</v>
      </c>
      <c r="L14" s="4">
        <v>2</v>
      </c>
      <c r="M14" s="4">
        <v>6.75</v>
      </c>
      <c r="N14" s="9">
        <f>J14*L14*M14*I14</f>
        <v>38961</v>
      </c>
    </row>
    <row r="15" spans="5:14" ht="33.9" customHeight="1" x14ac:dyDescent="0.3">
      <c r="E15" s="4">
        <v>5</v>
      </c>
      <c r="F15" s="30" t="s">
        <v>52</v>
      </c>
      <c r="G15" s="30"/>
      <c r="H15" s="30"/>
      <c r="I15" s="5">
        <v>1</v>
      </c>
      <c r="J15" s="12">
        <v>3573.375</v>
      </c>
      <c r="K15" s="17" t="s">
        <v>39</v>
      </c>
      <c r="L15" s="4">
        <v>1</v>
      </c>
      <c r="M15" s="4">
        <v>55</v>
      </c>
      <c r="N15" s="9">
        <f>J15*L15*M15*I15</f>
        <v>196535.625</v>
      </c>
    </row>
    <row r="16" spans="5:14" ht="17.399999999999999" customHeight="1" x14ac:dyDescent="0.35">
      <c r="E16" s="16"/>
      <c r="F16" s="32" t="s">
        <v>18</v>
      </c>
      <c r="G16" s="32"/>
      <c r="H16" s="32"/>
      <c r="I16" s="32"/>
      <c r="J16" s="32"/>
      <c r="K16" s="32"/>
      <c r="L16" s="32"/>
      <c r="M16" s="32"/>
      <c r="N16" s="10">
        <f>SUM(N11:N15)</f>
        <v>699968.28749999998</v>
      </c>
    </row>
    <row r="17" spans="5:14" ht="17.399999999999999" customHeight="1" x14ac:dyDescent="0.35">
      <c r="E17" s="16"/>
      <c r="F17" s="33" t="s">
        <v>20</v>
      </c>
      <c r="G17" s="33"/>
      <c r="H17" s="33"/>
      <c r="I17" s="33"/>
      <c r="J17" s="33"/>
      <c r="K17" s="33"/>
      <c r="L17" s="33"/>
      <c r="M17" s="33"/>
      <c r="N17" s="6" t="s">
        <v>23</v>
      </c>
    </row>
    <row r="18" spans="5:14" ht="17.399999999999999" customHeight="1" x14ac:dyDescent="0.35">
      <c r="E18" s="16"/>
      <c r="F18" s="33" t="s">
        <v>21</v>
      </c>
      <c r="G18" s="33"/>
      <c r="H18" s="33"/>
      <c r="I18" s="33"/>
      <c r="J18" s="33"/>
      <c r="K18" s="33"/>
      <c r="L18" s="33"/>
      <c r="M18" s="33"/>
      <c r="N18" s="6" t="s">
        <v>23</v>
      </c>
    </row>
    <row r="19" spans="5:14" ht="17.399999999999999" customHeight="1" x14ac:dyDescent="0.35">
      <c r="E19" s="16"/>
      <c r="F19" s="33" t="s">
        <v>24</v>
      </c>
      <c r="G19" s="33"/>
      <c r="H19" s="33"/>
      <c r="I19" s="33"/>
      <c r="J19" s="33"/>
      <c r="K19" s="33"/>
      <c r="L19" s="33"/>
      <c r="M19" s="33"/>
      <c r="N19" s="10"/>
    </row>
    <row r="20" spans="5:14" ht="17.399999999999999" customHeight="1" x14ac:dyDescent="0.35">
      <c r="E20" s="16"/>
      <c r="F20" s="13"/>
      <c r="G20" s="13"/>
      <c r="H20" s="13"/>
      <c r="I20" s="13"/>
      <c r="J20" s="13"/>
      <c r="K20" s="13"/>
      <c r="L20" s="13"/>
      <c r="M20" s="13"/>
      <c r="N20" s="10">
        <f>N16-N19</f>
        <v>699968.28749999998</v>
      </c>
    </row>
    <row r="21" spans="5:14" ht="15.5" x14ac:dyDescent="0.35">
      <c r="E21" s="7"/>
      <c r="F21" s="34" t="s">
        <v>55</v>
      </c>
      <c r="G21" s="34"/>
      <c r="H21" s="34"/>
      <c r="I21" s="34"/>
      <c r="J21" s="34"/>
      <c r="K21" s="34"/>
      <c r="L21" s="34"/>
      <c r="M21" s="34"/>
      <c r="N21" s="34"/>
    </row>
    <row r="22" spans="5:14" ht="15.5" x14ac:dyDescent="0.35">
      <c r="E22" s="16"/>
      <c r="F22" s="22" t="s">
        <v>13</v>
      </c>
      <c r="G22" s="22"/>
      <c r="H22" s="22"/>
      <c r="I22" s="7"/>
      <c r="J22" s="7"/>
      <c r="K22" s="7"/>
      <c r="L22" s="7"/>
      <c r="M22" s="7"/>
      <c r="N22" s="11"/>
    </row>
    <row r="23" spans="5:14" ht="15.5" x14ac:dyDescent="0.35">
      <c r="E23" s="16"/>
      <c r="F23" s="22" t="s">
        <v>22</v>
      </c>
      <c r="G23" s="22"/>
      <c r="H23" s="22"/>
      <c r="I23" s="7"/>
      <c r="J23" s="7"/>
      <c r="K23" s="7"/>
      <c r="L23" s="7"/>
      <c r="M23" s="7"/>
      <c r="N23" s="11"/>
    </row>
    <row r="24" spans="5:14" ht="15.5" x14ac:dyDescent="0.35">
      <c r="E24" s="16"/>
      <c r="F24" s="22" t="s">
        <v>14</v>
      </c>
      <c r="G24" s="22"/>
      <c r="H24" s="22"/>
      <c r="I24" s="7"/>
      <c r="J24" s="7"/>
      <c r="K24" s="7"/>
      <c r="L24" s="7"/>
      <c r="M24" s="7"/>
      <c r="N24" s="18">
        <f>N20-N22-N23</f>
        <v>699968.28749999998</v>
      </c>
    </row>
    <row r="25" spans="5:14" ht="15.5" x14ac:dyDescent="0.35"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5:14" x14ac:dyDescent="0.3"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spans="5:14" x14ac:dyDescent="0.3">
      <c r="E27" s="25"/>
      <c r="F27" s="25"/>
      <c r="G27" s="25"/>
      <c r="H27" s="25"/>
      <c r="I27" s="25"/>
      <c r="J27" s="25"/>
      <c r="K27" s="25"/>
      <c r="L27" s="25"/>
      <c r="M27" s="25"/>
      <c r="N27" s="25"/>
    </row>
    <row r="28" spans="5:14" x14ac:dyDescent="0.3">
      <c r="E28" s="25"/>
      <c r="F28" s="25"/>
      <c r="G28" s="25"/>
      <c r="H28" s="25"/>
      <c r="I28" s="25"/>
      <c r="J28" s="25"/>
      <c r="K28" s="25"/>
      <c r="L28" s="25"/>
      <c r="M28" s="25"/>
      <c r="N28" s="25"/>
    </row>
    <row r="29" spans="5:14" x14ac:dyDescent="0.3">
      <c r="E29" s="24" t="s">
        <v>15</v>
      </c>
      <c r="F29" s="24"/>
      <c r="G29" s="24"/>
      <c r="H29" s="24"/>
      <c r="I29" s="24"/>
      <c r="J29" s="24"/>
      <c r="K29" s="24"/>
      <c r="L29" s="24"/>
      <c r="M29" s="24"/>
      <c r="N29" s="24"/>
    </row>
    <row r="30" spans="5:14" x14ac:dyDescent="0.3"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5:14" x14ac:dyDescent="0.3"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5:14" x14ac:dyDescent="0.3"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5:14" x14ac:dyDescent="0.3"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5:14" x14ac:dyDescent="0.3"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5:14" ht="15.5" x14ac:dyDescent="0.35"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5:14" ht="15.5" x14ac:dyDescent="0.35">
      <c r="E36" s="7"/>
      <c r="F36" s="7"/>
      <c r="G36" s="7"/>
      <c r="H36" s="7"/>
      <c r="I36" s="7"/>
      <c r="J36" s="7"/>
      <c r="K36" s="7"/>
      <c r="L36" s="7"/>
      <c r="M36" s="7"/>
      <c r="N36" s="7"/>
    </row>
  </sheetData>
  <mergeCells count="32">
    <mergeCell ref="E8:F8"/>
    <mergeCell ref="G8:N8"/>
    <mergeCell ref="E2:N2"/>
    <mergeCell ref="E4:F4"/>
    <mergeCell ref="G4:J4"/>
    <mergeCell ref="K4:M4"/>
    <mergeCell ref="E5:F5"/>
    <mergeCell ref="G5:N5"/>
    <mergeCell ref="E6:J6"/>
    <mergeCell ref="M6:N6"/>
    <mergeCell ref="E7:F7"/>
    <mergeCell ref="G7:J7"/>
    <mergeCell ref="M7:N7"/>
    <mergeCell ref="F21:N21"/>
    <mergeCell ref="F22:H22"/>
    <mergeCell ref="F23:H23"/>
    <mergeCell ref="E9:N9"/>
    <mergeCell ref="F10:H10"/>
    <mergeCell ref="F11:H11"/>
    <mergeCell ref="F14:H14"/>
    <mergeCell ref="F15:H15"/>
    <mergeCell ref="F16:M16"/>
    <mergeCell ref="F12:H12"/>
    <mergeCell ref="F13:H13"/>
    <mergeCell ref="F17:M17"/>
    <mergeCell ref="F18:M18"/>
    <mergeCell ref="F19:M19"/>
    <mergeCell ref="F24:H24"/>
    <mergeCell ref="E26:N28"/>
    <mergeCell ref="E29:N30"/>
    <mergeCell ref="E31:N32"/>
    <mergeCell ref="E33:N34"/>
  </mergeCells>
  <pageMargins left="0.7" right="0.7" top="0.75" bottom="0.75" header="0.3" footer="0.3"/>
  <pageSetup paperSize="9" scale="54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E8040-B856-4354-B3C8-A8056E070CAF}">
  <sheetPr>
    <pageSetUpPr fitToPage="1"/>
  </sheetPr>
  <dimension ref="E2:N34"/>
  <sheetViews>
    <sheetView topLeftCell="B6" workbookViewId="0">
      <selection activeCell="E24" sqref="E24:N26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3" width="10.08984375" style="1" bestFit="1" customWidth="1"/>
    <col min="14" max="14" width="12.453125" style="1" customWidth="1"/>
    <col min="15" max="16384" width="8.6328125" style="1"/>
  </cols>
  <sheetData>
    <row r="2" spans="5:14" ht="17.5" x14ac:dyDescent="0.35">
      <c r="E2" s="20" t="s">
        <v>0</v>
      </c>
      <c r="F2" s="20"/>
      <c r="G2" s="20"/>
      <c r="H2" s="20"/>
      <c r="I2" s="20"/>
      <c r="J2" s="20"/>
      <c r="K2" s="20"/>
      <c r="L2" s="20"/>
      <c r="M2" s="20"/>
      <c r="N2" s="20"/>
    </row>
    <row r="3" spans="5:14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5:14" ht="15.5" x14ac:dyDescent="0.35">
      <c r="E4" s="21" t="s">
        <v>16</v>
      </c>
      <c r="F4" s="21"/>
      <c r="G4" s="22" t="s">
        <v>45</v>
      </c>
      <c r="H4" s="22"/>
      <c r="I4" s="22"/>
      <c r="J4" s="22"/>
      <c r="K4" s="23" t="s">
        <v>19</v>
      </c>
      <c r="L4" s="23"/>
      <c r="M4" s="23"/>
      <c r="N4" s="7">
        <v>6</v>
      </c>
    </row>
    <row r="5" spans="5:14" ht="18.899999999999999" customHeight="1" x14ac:dyDescent="0.3">
      <c r="E5" s="24" t="s">
        <v>1</v>
      </c>
      <c r="F5" s="24"/>
      <c r="G5" s="25" t="s">
        <v>25</v>
      </c>
      <c r="H5" s="25"/>
      <c r="I5" s="25"/>
      <c r="J5" s="25"/>
      <c r="K5" s="25"/>
      <c r="L5" s="25"/>
      <c r="M5" s="25"/>
      <c r="N5" s="25"/>
    </row>
    <row r="6" spans="5:14" ht="30.9" customHeight="1" x14ac:dyDescent="0.35">
      <c r="E6" s="26" t="s">
        <v>31</v>
      </c>
      <c r="F6" s="26"/>
      <c r="G6" s="26"/>
      <c r="H6" s="26"/>
      <c r="I6" s="26"/>
      <c r="J6" s="26"/>
      <c r="K6" s="8" t="s">
        <v>2</v>
      </c>
      <c r="L6" s="8"/>
      <c r="M6" s="27">
        <v>45654</v>
      </c>
      <c r="N6" s="28"/>
    </row>
    <row r="7" spans="5:14" ht="20.149999999999999" customHeight="1" x14ac:dyDescent="0.3">
      <c r="E7" s="29" t="s">
        <v>3</v>
      </c>
      <c r="F7" s="29"/>
      <c r="G7" s="30" t="s">
        <v>27</v>
      </c>
      <c r="H7" s="30"/>
      <c r="I7" s="30"/>
      <c r="J7" s="30"/>
      <c r="K7" s="14" t="s">
        <v>17</v>
      </c>
      <c r="L7" s="14"/>
      <c r="M7" s="27">
        <v>45654</v>
      </c>
      <c r="N7" s="28"/>
    </row>
    <row r="8" spans="5:14" ht="18.899999999999999" customHeight="1" x14ac:dyDescent="0.3">
      <c r="E8" s="24" t="s">
        <v>5</v>
      </c>
      <c r="F8" s="24"/>
      <c r="G8" s="25" t="s">
        <v>28</v>
      </c>
      <c r="H8" s="25"/>
      <c r="I8" s="25"/>
      <c r="J8" s="25"/>
      <c r="K8" s="25"/>
      <c r="L8" s="25"/>
      <c r="M8" s="25"/>
      <c r="N8" s="25"/>
    </row>
    <row r="9" spans="5:14" ht="20.399999999999999" customHeight="1" x14ac:dyDescent="0.3">
      <c r="E9" s="24" t="s">
        <v>4</v>
      </c>
      <c r="F9" s="24"/>
      <c r="G9" s="24"/>
      <c r="H9" s="24"/>
      <c r="I9" s="24"/>
      <c r="J9" s="24"/>
      <c r="K9" s="24"/>
      <c r="L9" s="24"/>
      <c r="M9" s="24"/>
      <c r="N9" s="24"/>
    </row>
    <row r="10" spans="5:14" ht="30" x14ac:dyDescent="0.3">
      <c r="E10" s="2" t="s">
        <v>12</v>
      </c>
      <c r="F10" s="31" t="s">
        <v>6</v>
      </c>
      <c r="G10" s="31"/>
      <c r="H10" s="31"/>
      <c r="I10" s="3" t="s">
        <v>7</v>
      </c>
      <c r="J10" s="13" t="s">
        <v>8</v>
      </c>
      <c r="K10" s="13" t="s">
        <v>9</v>
      </c>
      <c r="L10" s="2" t="s">
        <v>29</v>
      </c>
      <c r="M10" s="14" t="s">
        <v>10</v>
      </c>
      <c r="N10" s="13" t="s">
        <v>11</v>
      </c>
    </row>
    <row r="11" spans="5:14" ht="33.9" customHeight="1" x14ac:dyDescent="0.3">
      <c r="E11" s="4">
        <v>1</v>
      </c>
      <c r="F11" s="30" t="s">
        <v>56</v>
      </c>
      <c r="G11" s="30"/>
      <c r="H11" s="30"/>
      <c r="I11" s="5">
        <v>1</v>
      </c>
      <c r="J11" s="12">
        <v>2801.45</v>
      </c>
      <c r="K11" s="17" t="s">
        <v>39</v>
      </c>
      <c r="L11" s="4">
        <v>11</v>
      </c>
      <c r="M11" s="4">
        <v>6.75</v>
      </c>
      <c r="N11" s="9">
        <f>J11*L11*M11*I11</f>
        <v>208007.66249999998</v>
      </c>
    </row>
    <row r="12" spans="5:14" ht="33.9" customHeight="1" x14ac:dyDescent="0.3">
      <c r="E12" s="4">
        <v>2</v>
      </c>
      <c r="F12" s="30" t="s">
        <v>57</v>
      </c>
      <c r="G12" s="30"/>
      <c r="H12" s="30"/>
      <c r="I12" s="5">
        <v>1</v>
      </c>
      <c r="J12" s="19">
        <v>2886</v>
      </c>
      <c r="K12" s="17" t="s">
        <v>41</v>
      </c>
      <c r="L12" s="4">
        <v>12</v>
      </c>
      <c r="M12" s="4">
        <v>6.75</v>
      </c>
      <c r="N12" s="9">
        <f>J12*L12*M12*I12</f>
        <v>233766</v>
      </c>
    </row>
    <row r="13" spans="5:14" ht="33.9" customHeight="1" x14ac:dyDescent="0.3">
      <c r="E13" s="4">
        <v>3</v>
      </c>
      <c r="F13" s="30" t="s">
        <v>54</v>
      </c>
      <c r="G13" s="30"/>
      <c r="H13" s="30"/>
      <c r="I13" s="5">
        <v>1</v>
      </c>
      <c r="J13" s="19">
        <v>4.5</v>
      </c>
      <c r="K13" s="17" t="s">
        <v>39</v>
      </c>
      <c r="L13" s="4">
        <v>12</v>
      </c>
      <c r="M13" s="4">
        <v>55</v>
      </c>
      <c r="N13" s="9">
        <f>J13*L13*M13*I13</f>
        <v>2970</v>
      </c>
    </row>
    <row r="14" spans="5:14" ht="17.399999999999999" customHeight="1" x14ac:dyDescent="0.35">
      <c r="E14" s="16"/>
      <c r="F14" s="32" t="s">
        <v>18</v>
      </c>
      <c r="G14" s="32"/>
      <c r="H14" s="32"/>
      <c r="I14" s="32"/>
      <c r="J14" s="32"/>
      <c r="K14" s="32"/>
      <c r="L14" s="32"/>
      <c r="M14" s="32"/>
      <c r="N14" s="10">
        <f>SUM(N11:N13)</f>
        <v>444743.66249999998</v>
      </c>
    </row>
    <row r="15" spans="5:14" ht="17.399999999999999" customHeight="1" x14ac:dyDescent="0.35">
      <c r="E15" s="16"/>
      <c r="F15" s="33" t="s">
        <v>20</v>
      </c>
      <c r="G15" s="33"/>
      <c r="H15" s="33"/>
      <c r="I15" s="33"/>
      <c r="J15" s="33"/>
      <c r="K15" s="33"/>
      <c r="L15" s="33"/>
      <c r="M15" s="33"/>
      <c r="N15" s="6" t="s">
        <v>23</v>
      </c>
    </row>
    <row r="16" spans="5:14" ht="17.399999999999999" customHeight="1" x14ac:dyDescent="0.35">
      <c r="E16" s="16"/>
      <c r="F16" s="33" t="s">
        <v>21</v>
      </c>
      <c r="G16" s="33"/>
      <c r="H16" s="33"/>
      <c r="I16" s="33"/>
      <c r="J16" s="33"/>
      <c r="K16" s="33"/>
      <c r="L16" s="33"/>
      <c r="M16" s="33"/>
      <c r="N16" s="6" t="s">
        <v>23</v>
      </c>
    </row>
    <row r="17" spans="5:14" ht="17.399999999999999" customHeight="1" x14ac:dyDescent="0.35">
      <c r="E17" s="16"/>
      <c r="F17" s="33" t="s">
        <v>24</v>
      </c>
      <c r="G17" s="33"/>
      <c r="H17" s="33"/>
      <c r="I17" s="33"/>
      <c r="J17" s="33"/>
      <c r="K17" s="33"/>
      <c r="L17" s="33"/>
      <c r="M17" s="33"/>
      <c r="N17" s="10"/>
    </row>
    <row r="18" spans="5:14" ht="17.399999999999999" customHeight="1" x14ac:dyDescent="0.35">
      <c r="E18" s="16"/>
      <c r="F18" s="13"/>
      <c r="G18" s="13"/>
      <c r="H18" s="13"/>
      <c r="I18" s="13"/>
      <c r="J18" s="13"/>
      <c r="K18" s="13"/>
      <c r="L18" s="13"/>
      <c r="M18" s="13"/>
      <c r="N18" s="10">
        <f>N14-N17</f>
        <v>444743.66249999998</v>
      </c>
    </row>
    <row r="19" spans="5:14" ht="15.5" x14ac:dyDescent="0.35">
      <c r="E19" s="7"/>
      <c r="F19" s="34" t="s">
        <v>58</v>
      </c>
      <c r="G19" s="34"/>
      <c r="H19" s="34"/>
      <c r="I19" s="34"/>
      <c r="J19" s="34"/>
      <c r="K19" s="34"/>
      <c r="L19" s="34"/>
      <c r="M19" s="34"/>
      <c r="N19" s="34"/>
    </row>
    <row r="20" spans="5:14" ht="15.5" x14ac:dyDescent="0.35">
      <c r="E20" s="16"/>
      <c r="F20" s="22" t="s">
        <v>13</v>
      </c>
      <c r="G20" s="22"/>
      <c r="H20" s="22"/>
      <c r="I20" s="7"/>
      <c r="J20" s="7"/>
      <c r="K20" s="7"/>
      <c r="L20" s="7"/>
      <c r="M20" s="7"/>
      <c r="N20" s="11"/>
    </row>
    <row r="21" spans="5:14" ht="15.5" x14ac:dyDescent="0.35">
      <c r="E21" s="16"/>
      <c r="F21" s="22" t="s">
        <v>22</v>
      </c>
      <c r="G21" s="22"/>
      <c r="H21" s="22"/>
      <c r="I21" s="7"/>
      <c r="J21" s="7"/>
      <c r="K21" s="7"/>
      <c r="L21" s="7"/>
      <c r="M21" s="7"/>
      <c r="N21" s="11"/>
    </row>
    <row r="22" spans="5:14" ht="15.5" x14ac:dyDescent="0.35">
      <c r="E22" s="16"/>
      <c r="F22" s="22" t="s">
        <v>14</v>
      </c>
      <c r="G22" s="22"/>
      <c r="H22" s="22"/>
      <c r="I22" s="7"/>
      <c r="J22" s="7"/>
      <c r="K22" s="7"/>
      <c r="L22" s="7"/>
      <c r="M22" s="7"/>
      <c r="N22" s="18">
        <f>N18-N20-N21</f>
        <v>444743.66249999998</v>
      </c>
    </row>
    <row r="23" spans="5:14" ht="15.5" x14ac:dyDescent="0.35"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5:14" x14ac:dyDescent="0.3"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spans="5:14" x14ac:dyDescent="0.3"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5:14" x14ac:dyDescent="0.3"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spans="5:14" x14ac:dyDescent="0.3">
      <c r="E27" s="24" t="s">
        <v>15</v>
      </c>
      <c r="F27" s="24"/>
      <c r="G27" s="24"/>
      <c r="H27" s="24"/>
      <c r="I27" s="24"/>
      <c r="J27" s="24"/>
      <c r="K27" s="24"/>
      <c r="L27" s="24"/>
      <c r="M27" s="24"/>
      <c r="N27" s="24"/>
    </row>
    <row r="28" spans="5:14" x14ac:dyDescent="0.3"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5:14" x14ac:dyDescent="0.3"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5:14" x14ac:dyDescent="0.3"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5:14" x14ac:dyDescent="0.3"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5:14" x14ac:dyDescent="0.3"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5:14" ht="15.5" x14ac:dyDescent="0.35"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5:14" ht="15.5" x14ac:dyDescent="0.35">
      <c r="E34" s="7"/>
      <c r="F34" s="7"/>
      <c r="G34" s="7"/>
      <c r="H34" s="7"/>
      <c r="I34" s="7"/>
      <c r="J34" s="7"/>
      <c r="K34" s="7"/>
      <c r="L34" s="7"/>
      <c r="M34" s="7"/>
      <c r="N34" s="7"/>
    </row>
  </sheetData>
  <mergeCells count="30">
    <mergeCell ref="E31:N32"/>
    <mergeCell ref="F20:H20"/>
    <mergeCell ref="F21:H21"/>
    <mergeCell ref="F22:H22"/>
    <mergeCell ref="E24:N26"/>
    <mergeCell ref="E27:N28"/>
    <mergeCell ref="E29:N30"/>
    <mergeCell ref="F14:M14"/>
    <mergeCell ref="F15:M15"/>
    <mergeCell ref="F16:M16"/>
    <mergeCell ref="F17:M17"/>
    <mergeCell ref="F19:N19"/>
    <mergeCell ref="E9:N9"/>
    <mergeCell ref="F10:H10"/>
    <mergeCell ref="F11:H11"/>
    <mergeCell ref="F12:H12"/>
    <mergeCell ref="F13:H13"/>
    <mergeCell ref="E8:F8"/>
    <mergeCell ref="G8:N8"/>
    <mergeCell ref="E2:N2"/>
    <mergeCell ref="E4:F4"/>
    <mergeCell ref="G4:J4"/>
    <mergeCell ref="K4:M4"/>
    <mergeCell ref="E5:F5"/>
    <mergeCell ref="G5:N5"/>
    <mergeCell ref="E6:J6"/>
    <mergeCell ref="M6:N6"/>
    <mergeCell ref="E7:F7"/>
    <mergeCell ref="G7:J7"/>
    <mergeCell ref="M7:N7"/>
  </mergeCells>
  <pageMargins left="0.7" right="0.7" top="0.75" bottom="0.75" header="0.3" footer="0.3"/>
  <pageSetup paperSize="9" scale="54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BBB5-2719-445C-AE94-EEC71DAB28BE}">
  <sheetPr>
    <pageSetUpPr fitToPage="1"/>
  </sheetPr>
  <dimension ref="E2:N36"/>
  <sheetViews>
    <sheetView topLeftCell="B8" workbookViewId="0">
      <selection activeCell="E29" sqref="E29:N30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3" width="10.08984375" style="1" bestFit="1" customWidth="1"/>
    <col min="14" max="14" width="12.453125" style="1" customWidth="1"/>
    <col min="15" max="16384" width="8.6328125" style="1"/>
  </cols>
  <sheetData>
    <row r="2" spans="5:14" ht="17.5" x14ac:dyDescent="0.35">
      <c r="E2" s="20" t="s">
        <v>0</v>
      </c>
      <c r="F2" s="20"/>
      <c r="G2" s="20"/>
      <c r="H2" s="20"/>
      <c r="I2" s="20"/>
      <c r="J2" s="20"/>
      <c r="K2" s="20"/>
      <c r="L2" s="20"/>
      <c r="M2" s="20"/>
      <c r="N2" s="20"/>
    </row>
    <row r="3" spans="5:14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5:14" ht="15.5" x14ac:dyDescent="0.35">
      <c r="E4" s="21" t="s">
        <v>16</v>
      </c>
      <c r="F4" s="21"/>
      <c r="G4" s="22" t="s">
        <v>45</v>
      </c>
      <c r="H4" s="22"/>
      <c r="I4" s="22"/>
      <c r="J4" s="22"/>
      <c r="K4" s="23" t="s">
        <v>19</v>
      </c>
      <c r="L4" s="23"/>
      <c r="M4" s="23"/>
      <c r="N4" s="7">
        <v>7</v>
      </c>
    </row>
    <row r="5" spans="5:14" ht="18.899999999999999" customHeight="1" x14ac:dyDescent="0.3">
      <c r="E5" s="24" t="s">
        <v>1</v>
      </c>
      <c r="F5" s="24"/>
      <c r="G5" s="25" t="s">
        <v>25</v>
      </c>
      <c r="H5" s="25"/>
      <c r="I5" s="25"/>
      <c r="J5" s="25"/>
      <c r="K5" s="25"/>
      <c r="L5" s="25"/>
      <c r="M5" s="25"/>
      <c r="N5" s="25"/>
    </row>
    <row r="6" spans="5:14" ht="30.9" customHeight="1" x14ac:dyDescent="0.35">
      <c r="E6" s="26" t="s">
        <v>31</v>
      </c>
      <c r="F6" s="26"/>
      <c r="G6" s="26"/>
      <c r="H6" s="26"/>
      <c r="I6" s="26"/>
      <c r="J6" s="26"/>
      <c r="K6" s="8" t="s">
        <v>2</v>
      </c>
      <c r="L6" s="8"/>
      <c r="M6" s="27">
        <v>45702</v>
      </c>
      <c r="N6" s="28"/>
    </row>
    <row r="7" spans="5:14" ht="20.149999999999999" customHeight="1" x14ac:dyDescent="0.3">
      <c r="E7" s="29" t="s">
        <v>3</v>
      </c>
      <c r="F7" s="29"/>
      <c r="G7" s="30" t="s">
        <v>27</v>
      </c>
      <c r="H7" s="30"/>
      <c r="I7" s="30"/>
      <c r="J7" s="30"/>
      <c r="K7" s="14" t="s">
        <v>17</v>
      </c>
      <c r="L7" s="14"/>
      <c r="M7" s="27">
        <v>45699</v>
      </c>
      <c r="N7" s="28"/>
    </row>
    <row r="8" spans="5:14" ht="18.899999999999999" customHeight="1" x14ac:dyDescent="0.3">
      <c r="E8" s="24" t="s">
        <v>5</v>
      </c>
      <c r="F8" s="24"/>
      <c r="G8" s="25" t="s">
        <v>28</v>
      </c>
      <c r="H8" s="25"/>
      <c r="I8" s="25"/>
      <c r="J8" s="25"/>
      <c r="K8" s="25"/>
      <c r="L8" s="25"/>
      <c r="M8" s="25"/>
      <c r="N8" s="25"/>
    </row>
    <row r="9" spans="5:14" ht="20.399999999999999" customHeight="1" x14ac:dyDescent="0.3">
      <c r="E9" s="24" t="s">
        <v>4</v>
      </c>
      <c r="F9" s="24"/>
      <c r="G9" s="24"/>
      <c r="H9" s="24"/>
      <c r="I9" s="24"/>
      <c r="J9" s="24"/>
      <c r="K9" s="24"/>
      <c r="L9" s="24"/>
      <c r="M9" s="24"/>
      <c r="N9" s="24"/>
    </row>
    <row r="10" spans="5:14" ht="30" x14ac:dyDescent="0.3">
      <c r="E10" s="2" t="s">
        <v>12</v>
      </c>
      <c r="F10" s="31" t="s">
        <v>6</v>
      </c>
      <c r="G10" s="31"/>
      <c r="H10" s="31"/>
      <c r="I10" s="3" t="s">
        <v>7</v>
      </c>
      <c r="J10" s="13" t="s">
        <v>8</v>
      </c>
      <c r="K10" s="13" t="s">
        <v>9</v>
      </c>
      <c r="L10" s="2" t="s">
        <v>29</v>
      </c>
      <c r="M10" s="14" t="s">
        <v>10</v>
      </c>
      <c r="N10" s="13" t="s">
        <v>11</v>
      </c>
    </row>
    <row r="11" spans="5:14" ht="33.9" customHeight="1" x14ac:dyDescent="0.3">
      <c r="E11" s="4">
        <v>1</v>
      </c>
      <c r="F11" s="30" t="s">
        <v>61</v>
      </c>
      <c r="G11" s="30"/>
      <c r="H11" s="30"/>
      <c r="I11" s="5">
        <v>1</v>
      </c>
      <c r="J11" s="12">
        <v>3454</v>
      </c>
      <c r="K11" s="17" t="s">
        <v>39</v>
      </c>
      <c r="L11" s="4">
        <v>1</v>
      </c>
      <c r="M11" s="4">
        <v>55</v>
      </c>
      <c r="N11" s="9">
        <f>J11*L11*M11*I11</f>
        <v>189970</v>
      </c>
    </row>
    <row r="12" spans="5:14" ht="33.9" customHeight="1" x14ac:dyDescent="0.3">
      <c r="E12" s="4">
        <v>2</v>
      </c>
      <c r="F12" s="30" t="s">
        <v>59</v>
      </c>
      <c r="G12" s="30"/>
      <c r="H12" s="30"/>
      <c r="I12" s="5">
        <v>1</v>
      </c>
      <c r="J12" s="12">
        <v>182</v>
      </c>
      <c r="K12" s="17" t="s">
        <v>41</v>
      </c>
      <c r="L12" s="4">
        <v>1</v>
      </c>
      <c r="M12" s="4">
        <v>12</v>
      </c>
      <c r="N12" s="9">
        <f>J12*L12*M12*I12</f>
        <v>2184</v>
      </c>
    </row>
    <row r="13" spans="5:14" ht="33.9" customHeight="1" x14ac:dyDescent="0.3">
      <c r="E13" s="4">
        <v>3</v>
      </c>
      <c r="F13" s="30" t="s">
        <v>60</v>
      </c>
      <c r="G13" s="30"/>
      <c r="H13" s="30"/>
      <c r="I13" s="5">
        <v>1</v>
      </c>
      <c r="J13" s="19">
        <v>3454</v>
      </c>
      <c r="K13" s="17" t="s">
        <v>39</v>
      </c>
      <c r="L13" s="4">
        <v>1</v>
      </c>
      <c r="M13" s="4">
        <v>55</v>
      </c>
      <c r="N13" s="9">
        <f>J13*L13*M13*I13</f>
        <v>189970</v>
      </c>
    </row>
    <row r="14" spans="5:14" ht="33.9" customHeight="1" x14ac:dyDescent="0.3">
      <c r="E14" s="4">
        <v>4</v>
      </c>
      <c r="F14" s="30" t="s">
        <v>59</v>
      </c>
      <c r="G14" s="30"/>
      <c r="H14" s="30"/>
      <c r="I14" s="5">
        <v>1</v>
      </c>
      <c r="J14" s="19">
        <v>182</v>
      </c>
      <c r="K14" s="17" t="s">
        <v>39</v>
      </c>
      <c r="L14" s="4">
        <v>1</v>
      </c>
      <c r="M14" s="4">
        <v>12</v>
      </c>
      <c r="N14" s="9">
        <f>J14*L14*M14*I14</f>
        <v>2184</v>
      </c>
    </row>
    <row r="15" spans="5:14" ht="33.9" customHeight="1" x14ac:dyDescent="0.3">
      <c r="E15" s="4">
        <v>5</v>
      </c>
      <c r="F15" s="30" t="s">
        <v>63</v>
      </c>
      <c r="G15" s="30"/>
      <c r="H15" s="30"/>
      <c r="I15" s="5">
        <v>1</v>
      </c>
      <c r="J15" s="19">
        <v>47</v>
      </c>
      <c r="K15" s="17" t="s">
        <v>62</v>
      </c>
      <c r="L15" s="4">
        <v>1</v>
      </c>
      <c r="M15" s="4">
        <v>1000</v>
      </c>
      <c r="N15" s="9">
        <f>J15*L15*M15*I15</f>
        <v>47000</v>
      </c>
    </row>
    <row r="16" spans="5:14" ht="17.399999999999999" customHeight="1" x14ac:dyDescent="0.35">
      <c r="E16" s="16"/>
      <c r="F16" s="32" t="s">
        <v>18</v>
      </c>
      <c r="G16" s="32"/>
      <c r="H16" s="32"/>
      <c r="I16" s="32"/>
      <c r="J16" s="32"/>
      <c r="K16" s="32"/>
      <c r="L16" s="32"/>
      <c r="M16" s="32"/>
      <c r="N16" s="10">
        <f>SUM(N11:N15)</f>
        <v>431308</v>
      </c>
    </row>
    <row r="17" spans="5:14" ht="17.399999999999999" customHeight="1" x14ac:dyDescent="0.35">
      <c r="E17" s="16"/>
      <c r="F17" s="33" t="s">
        <v>20</v>
      </c>
      <c r="G17" s="33"/>
      <c r="H17" s="33"/>
      <c r="I17" s="33"/>
      <c r="J17" s="33"/>
      <c r="K17" s="33"/>
      <c r="L17" s="33"/>
      <c r="M17" s="33"/>
      <c r="N17" s="6" t="s">
        <v>23</v>
      </c>
    </row>
    <row r="18" spans="5:14" ht="17.399999999999999" customHeight="1" x14ac:dyDescent="0.35">
      <c r="E18" s="16"/>
      <c r="F18" s="33" t="s">
        <v>21</v>
      </c>
      <c r="G18" s="33"/>
      <c r="H18" s="33"/>
      <c r="I18" s="33"/>
      <c r="J18" s="33"/>
      <c r="K18" s="33"/>
      <c r="L18" s="33"/>
      <c r="M18" s="33"/>
      <c r="N18" s="6" t="s">
        <v>23</v>
      </c>
    </row>
    <row r="19" spans="5:14" ht="17.399999999999999" customHeight="1" x14ac:dyDescent="0.35">
      <c r="E19" s="16"/>
      <c r="F19" s="33" t="s">
        <v>24</v>
      </c>
      <c r="G19" s="33"/>
      <c r="H19" s="33"/>
      <c r="I19" s="33"/>
      <c r="J19" s="33"/>
      <c r="K19" s="33"/>
      <c r="L19" s="33"/>
      <c r="M19" s="33"/>
      <c r="N19" s="10"/>
    </row>
    <row r="20" spans="5:14" ht="17.399999999999999" customHeight="1" x14ac:dyDescent="0.35">
      <c r="E20" s="16"/>
      <c r="F20" s="13"/>
      <c r="G20" s="13"/>
      <c r="H20" s="13"/>
      <c r="I20" s="13"/>
      <c r="J20" s="13"/>
      <c r="K20" s="13"/>
      <c r="L20" s="13"/>
      <c r="M20" s="13"/>
      <c r="N20" s="10">
        <f>N16-N19</f>
        <v>431308</v>
      </c>
    </row>
    <row r="21" spans="5:14" ht="15.5" x14ac:dyDescent="0.35">
      <c r="E21" s="7"/>
      <c r="F21" s="34" t="s">
        <v>64</v>
      </c>
      <c r="G21" s="34"/>
      <c r="H21" s="34"/>
      <c r="I21" s="34"/>
      <c r="J21" s="34"/>
      <c r="K21" s="34"/>
      <c r="L21" s="34"/>
      <c r="M21" s="34"/>
      <c r="N21" s="34"/>
    </row>
    <row r="22" spans="5:14" ht="15.5" x14ac:dyDescent="0.35">
      <c r="E22" s="16"/>
      <c r="F22" s="22" t="s">
        <v>13</v>
      </c>
      <c r="G22" s="22"/>
      <c r="H22" s="22"/>
      <c r="I22" s="7"/>
      <c r="J22" s="7"/>
      <c r="K22" s="7"/>
      <c r="L22" s="7"/>
      <c r="M22" s="7"/>
      <c r="N22" s="11"/>
    </row>
    <row r="23" spans="5:14" ht="15.5" x14ac:dyDescent="0.35">
      <c r="E23" s="16"/>
      <c r="F23" s="22" t="s">
        <v>22</v>
      </c>
      <c r="G23" s="22"/>
      <c r="H23" s="22"/>
      <c r="I23" s="7"/>
      <c r="J23" s="7"/>
      <c r="K23" s="7"/>
      <c r="L23" s="7"/>
      <c r="M23" s="7"/>
      <c r="N23" s="11"/>
    </row>
    <row r="24" spans="5:14" ht="15.5" x14ac:dyDescent="0.35">
      <c r="E24" s="16"/>
      <c r="F24" s="22" t="s">
        <v>14</v>
      </c>
      <c r="G24" s="22"/>
      <c r="H24" s="22"/>
      <c r="I24" s="7"/>
      <c r="J24" s="7"/>
      <c r="K24" s="7"/>
      <c r="L24" s="7"/>
      <c r="M24" s="7"/>
      <c r="N24" s="18">
        <f>N20-N22-N23</f>
        <v>431308</v>
      </c>
    </row>
    <row r="25" spans="5:14" ht="15.5" x14ac:dyDescent="0.35"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5:14" x14ac:dyDescent="0.3"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spans="5:14" x14ac:dyDescent="0.3">
      <c r="E27" s="25"/>
      <c r="F27" s="25"/>
      <c r="G27" s="25"/>
      <c r="H27" s="25"/>
      <c r="I27" s="25"/>
      <c r="J27" s="25"/>
      <c r="K27" s="25"/>
      <c r="L27" s="25"/>
      <c r="M27" s="25"/>
      <c r="N27" s="25"/>
    </row>
    <row r="28" spans="5:14" x14ac:dyDescent="0.3">
      <c r="E28" s="25"/>
      <c r="F28" s="25"/>
      <c r="G28" s="25"/>
      <c r="H28" s="25"/>
      <c r="I28" s="25"/>
      <c r="J28" s="25"/>
      <c r="K28" s="25"/>
      <c r="L28" s="25"/>
      <c r="M28" s="25"/>
      <c r="N28" s="25"/>
    </row>
    <row r="29" spans="5:14" x14ac:dyDescent="0.3">
      <c r="E29" s="24" t="s">
        <v>15</v>
      </c>
      <c r="F29" s="24"/>
      <c r="G29" s="24"/>
      <c r="H29" s="24"/>
      <c r="I29" s="24"/>
      <c r="J29" s="24"/>
      <c r="K29" s="24"/>
      <c r="L29" s="24"/>
      <c r="M29" s="24"/>
      <c r="N29" s="24"/>
    </row>
    <row r="30" spans="5:14" x14ac:dyDescent="0.3"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5:14" x14ac:dyDescent="0.3"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5:14" x14ac:dyDescent="0.3"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5:14" x14ac:dyDescent="0.3"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5:14" x14ac:dyDescent="0.3"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5:14" ht="15.5" x14ac:dyDescent="0.35"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5:14" ht="15.5" x14ac:dyDescent="0.35">
      <c r="E36" s="7"/>
      <c r="F36" s="7"/>
      <c r="G36" s="7"/>
      <c r="H36" s="7"/>
      <c r="I36" s="7"/>
      <c r="J36" s="7"/>
      <c r="K36" s="7"/>
      <c r="L36" s="7"/>
      <c r="M36" s="7"/>
      <c r="N36" s="7"/>
    </row>
  </sheetData>
  <mergeCells count="32">
    <mergeCell ref="E8:F8"/>
    <mergeCell ref="G8:N8"/>
    <mergeCell ref="E2:N2"/>
    <mergeCell ref="E4:F4"/>
    <mergeCell ref="G4:J4"/>
    <mergeCell ref="K4:M4"/>
    <mergeCell ref="E5:F5"/>
    <mergeCell ref="G5:N5"/>
    <mergeCell ref="E6:J6"/>
    <mergeCell ref="M6:N6"/>
    <mergeCell ref="E7:F7"/>
    <mergeCell ref="G7:J7"/>
    <mergeCell ref="M7:N7"/>
    <mergeCell ref="F21:N21"/>
    <mergeCell ref="F22:H22"/>
    <mergeCell ref="F23:H23"/>
    <mergeCell ref="E9:N9"/>
    <mergeCell ref="F10:H10"/>
    <mergeCell ref="F11:H11"/>
    <mergeCell ref="F12:H12"/>
    <mergeCell ref="F15:H15"/>
    <mergeCell ref="F16:M16"/>
    <mergeCell ref="F13:H13"/>
    <mergeCell ref="F14:H14"/>
    <mergeCell ref="F17:M17"/>
    <mergeCell ref="F18:M18"/>
    <mergeCell ref="F19:M19"/>
    <mergeCell ref="F24:H24"/>
    <mergeCell ref="E26:N28"/>
    <mergeCell ref="E29:N30"/>
    <mergeCell ref="E31:N32"/>
    <mergeCell ref="E33:N34"/>
  </mergeCells>
  <pageMargins left="0.7" right="0.7" top="0.75" bottom="0.75" header="0.3" footer="0.3"/>
  <pageSetup paperSize="9" scale="54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44DA-B3ED-4ABC-9D06-6E5DBB247D82}">
  <sheetPr>
    <pageSetUpPr fitToPage="1"/>
  </sheetPr>
  <dimension ref="E2:N34"/>
  <sheetViews>
    <sheetView tabSelected="1" topLeftCell="B9" workbookViewId="0">
      <selection activeCell="F13" sqref="F13:H13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3" width="10.08984375" style="1" bestFit="1" customWidth="1"/>
    <col min="14" max="14" width="12.453125" style="1" customWidth="1"/>
    <col min="15" max="16384" width="8.6328125" style="1"/>
  </cols>
  <sheetData>
    <row r="2" spans="5:14" ht="17.5" x14ac:dyDescent="0.35">
      <c r="E2" s="20" t="s">
        <v>0</v>
      </c>
      <c r="F2" s="20"/>
      <c r="G2" s="20"/>
      <c r="H2" s="20"/>
      <c r="I2" s="20"/>
      <c r="J2" s="20"/>
      <c r="K2" s="20"/>
      <c r="L2" s="20"/>
      <c r="M2" s="20"/>
      <c r="N2" s="20"/>
    </row>
    <row r="3" spans="5:14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5:14" ht="15.5" x14ac:dyDescent="0.35">
      <c r="E4" s="21" t="s">
        <v>16</v>
      </c>
      <c r="F4" s="21"/>
      <c r="G4" s="22" t="s">
        <v>45</v>
      </c>
      <c r="H4" s="22"/>
      <c r="I4" s="22"/>
      <c r="J4" s="22"/>
      <c r="K4" s="23" t="s">
        <v>19</v>
      </c>
      <c r="L4" s="23"/>
      <c r="M4" s="23"/>
      <c r="N4" s="7">
        <v>8</v>
      </c>
    </row>
    <row r="5" spans="5:14" ht="18.899999999999999" customHeight="1" x14ac:dyDescent="0.3">
      <c r="E5" s="24" t="s">
        <v>1</v>
      </c>
      <c r="F5" s="24"/>
      <c r="G5" s="25" t="s">
        <v>25</v>
      </c>
      <c r="H5" s="25"/>
      <c r="I5" s="25"/>
      <c r="J5" s="25"/>
      <c r="K5" s="25"/>
      <c r="L5" s="25"/>
      <c r="M5" s="25"/>
      <c r="N5" s="25"/>
    </row>
    <row r="6" spans="5:14" ht="30.9" customHeight="1" x14ac:dyDescent="0.35">
      <c r="E6" s="26" t="s">
        <v>31</v>
      </c>
      <c r="F6" s="26"/>
      <c r="G6" s="26"/>
      <c r="H6" s="26"/>
      <c r="I6" s="26"/>
      <c r="J6" s="26"/>
      <c r="K6" s="8" t="s">
        <v>2</v>
      </c>
      <c r="L6" s="8"/>
      <c r="M6" s="27">
        <v>45740</v>
      </c>
      <c r="N6" s="28"/>
    </row>
    <row r="7" spans="5:14" ht="20.149999999999999" customHeight="1" x14ac:dyDescent="0.3">
      <c r="E7" s="29" t="s">
        <v>3</v>
      </c>
      <c r="F7" s="29"/>
      <c r="G7" s="30" t="s">
        <v>27</v>
      </c>
      <c r="H7" s="30"/>
      <c r="I7" s="30"/>
      <c r="J7" s="30"/>
      <c r="K7" s="14" t="s">
        <v>17</v>
      </c>
      <c r="L7" s="14"/>
      <c r="M7" s="27">
        <v>45740</v>
      </c>
      <c r="N7" s="28"/>
    </row>
    <row r="8" spans="5:14" ht="18.899999999999999" customHeight="1" x14ac:dyDescent="0.3">
      <c r="E8" s="24" t="s">
        <v>5</v>
      </c>
      <c r="F8" s="24"/>
      <c r="G8" s="25" t="s">
        <v>28</v>
      </c>
      <c r="H8" s="25"/>
      <c r="I8" s="25"/>
      <c r="J8" s="25"/>
      <c r="K8" s="25"/>
      <c r="L8" s="25"/>
      <c r="M8" s="25"/>
      <c r="N8" s="25"/>
    </row>
    <row r="9" spans="5:14" ht="20.399999999999999" customHeight="1" x14ac:dyDescent="0.3">
      <c r="E9" s="24" t="s">
        <v>4</v>
      </c>
      <c r="F9" s="24"/>
      <c r="G9" s="24"/>
      <c r="H9" s="24"/>
      <c r="I9" s="24"/>
      <c r="J9" s="24"/>
      <c r="K9" s="24"/>
      <c r="L9" s="24"/>
      <c r="M9" s="24"/>
      <c r="N9" s="24"/>
    </row>
    <row r="10" spans="5:14" ht="30" x14ac:dyDescent="0.3">
      <c r="E10" s="2" t="s">
        <v>12</v>
      </c>
      <c r="F10" s="31" t="s">
        <v>6</v>
      </c>
      <c r="G10" s="31"/>
      <c r="H10" s="31"/>
      <c r="I10" s="3" t="s">
        <v>7</v>
      </c>
      <c r="J10" s="13" t="s">
        <v>8</v>
      </c>
      <c r="K10" s="13" t="s">
        <v>9</v>
      </c>
      <c r="L10" s="2" t="s">
        <v>29</v>
      </c>
      <c r="M10" s="14" t="s">
        <v>10</v>
      </c>
      <c r="N10" s="13" t="s">
        <v>11</v>
      </c>
    </row>
    <row r="11" spans="5:14" ht="33.9" customHeight="1" x14ac:dyDescent="0.3">
      <c r="E11" s="4">
        <v>1</v>
      </c>
      <c r="F11" s="30" t="s">
        <v>65</v>
      </c>
      <c r="G11" s="30"/>
      <c r="H11" s="30"/>
      <c r="I11" s="5">
        <v>1</v>
      </c>
      <c r="J11" s="12">
        <v>5708</v>
      </c>
      <c r="K11" s="17" t="s">
        <v>39</v>
      </c>
      <c r="L11" s="4">
        <v>1</v>
      </c>
      <c r="M11" s="4">
        <v>55</v>
      </c>
      <c r="N11" s="9">
        <f>J11*L11*M11*I11</f>
        <v>313940</v>
      </c>
    </row>
    <row r="12" spans="5:14" ht="33.9" customHeight="1" x14ac:dyDescent="0.3">
      <c r="E12" s="4">
        <v>2</v>
      </c>
      <c r="F12" s="30" t="s">
        <v>66</v>
      </c>
      <c r="G12" s="30"/>
      <c r="H12" s="30"/>
      <c r="I12" s="5">
        <v>1</v>
      </c>
      <c r="J12" s="12">
        <v>531</v>
      </c>
      <c r="K12" s="17" t="s">
        <v>41</v>
      </c>
      <c r="L12" s="4">
        <v>1</v>
      </c>
      <c r="M12" s="4">
        <v>12</v>
      </c>
      <c r="N12" s="9">
        <f>J12*L12*M12*I12</f>
        <v>6372</v>
      </c>
    </row>
    <row r="13" spans="5:14" ht="33.9" customHeight="1" x14ac:dyDescent="0.3">
      <c r="E13" s="4">
        <v>3</v>
      </c>
      <c r="F13" s="30" t="s">
        <v>67</v>
      </c>
      <c r="G13" s="30"/>
      <c r="H13" s="30"/>
      <c r="I13" s="5">
        <v>1</v>
      </c>
      <c r="J13" s="19">
        <v>232</v>
      </c>
      <c r="K13" s="17" t="s">
        <v>39</v>
      </c>
      <c r="L13" s="4">
        <v>1</v>
      </c>
      <c r="M13" s="4">
        <v>90</v>
      </c>
      <c r="N13" s="9">
        <f>J13*L13*M13*I13</f>
        <v>20880</v>
      </c>
    </row>
    <row r="14" spans="5:14" ht="17.399999999999999" customHeight="1" x14ac:dyDescent="0.35">
      <c r="E14" s="16"/>
      <c r="F14" s="32" t="s">
        <v>18</v>
      </c>
      <c r="G14" s="32"/>
      <c r="H14" s="32"/>
      <c r="I14" s="32"/>
      <c r="J14" s="32"/>
      <c r="K14" s="32"/>
      <c r="L14" s="32"/>
      <c r="M14" s="32"/>
      <c r="N14" s="10">
        <f>SUM(N11:N13)</f>
        <v>341192</v>
      </c>
    </row>
    <row r="15" spans="5:14" ht="17.399999999999999" customHeight="1" x14ac:dyDescent="0.35">
      <c r="E15" s="16"/>
      <c r="F15" s="33" t="s">
        <v>20</v>
      </c>
      <c r="G15" s="33"/>
      <c r="H15" s="33"/>
      <c r="I15" s="33"/>
      <c r="J15" s="33"/>
      <c r="K15" s="33"/>
      <c r="L15" s="33"/>
      <c r="M15" s="33"/>
      <c r="N15" s="6" t="s">
        <v>23</v>
      </c>
    </row>
    <row r="16" spans="5:14" ht="17.399999999999999" customHeight="1" x14ac:dyDescent="0.35">
      <c r="E16" s="16"/>
      <c r="F16" s="33" t="s">
        <v>21</v>
      </c>
      <c r="G16" s="33"/>
      <c r="H16" s="33"/>
      <c r="I16" s="33"/>
      <c r="J16" s="33"/>
      <c r="K16" s="33"/>
      <c r="L16" s="33"/>
      <c r="M16" s="33"/>
      <c r="N16" s="6" t="s">
        <v>23</v>
      </c>
    </row>
    <row r="17" spans="5:14" ht="17.399999999999999" customHeight="1" x14ac:dyDescent="0.35">
      <c r="E17" s="16"/>
      <c r="F17" s="33" t="s">
        <v>24</v>
      </c>
      <c r="G17" s="33"/>
      <c r="H17" s="33"/>
      <c r="I17" s="33"/>
      <c r="J17" s="33"/>
      <c r="K17" s="33"/>
      <c r="L17" s="33"/>
      <c r="M17" s="33"/>
      <c r="N17" s="10"/>
    </row>
    <row r="18" spans="5:14" ht="17.399999999999999" customHeight="1" x14ac:dyDescent="0.35">
      <c r="E18" s="16"/>
      <c r="F18" s="13"/>
      <c r="G18" s="13"/>
      <c r="H18" s="13"/>
      <c r="I18" s="13"/>
      <c r="J18" s="13"/>
      <c r="K18" s="13"/>
      <c r="L18" s="13"/>
      <c r="M18" s="13"/>
      <c r="N18" s="10">
        <f>N14-N17</f>
        <v>341192</v>
      </c>
    </row>
    <row r="19" spans="5:14" ht="15.5" x14ac:dyDescent="0.35">
      <c r="E19" s="7"/>
      <c r="F19" s="34" t="s">
        <v>68</v>
      </c>
      <c r="G19" s="34"/>
      <c r="H19" s="34"/>
      <c r="I19" s="34"/>
      <c r="J19" s="34"/>
      <c r="K19" s="34"/>
      <c r="L19" s="34"/>
      <c r="M19" s="34"/>
      <c r="N19" s="34"/>
    </row>
    <row r="20" spans="5:14" ht="15.5" x14ac:dyDescent="0.35">
      <c r="E20" s="16"/>
      <c r="F20" s="22" t="s">
        <v>13</v>
      </c>
      <c r="G20" s="22"/>
      <c r="H20" s="22"/>
      <c r="I20" s="7"/>
      <c r="J20" s="7"/>
      <c r="K20" s="7"/>
      <c r="L20" s="7"/>
      <c r="M20" s="7"/>
      <c r="N20" s="11"/>
    </row>
    <row r="21" spans="5:14" ht="15.5" x14ac:dyDescent="0.35">
      <c r="E21" s="16"/>
      <c r="F21" s="22" t="s">
        <v>22</v>
      </c>
      <c r="G21" s="22"/>
      <c r="H21" s="22"/>
      <c r="I21" s="7"/>
      <c r="J21" s="7"/>
      <c r="K21" s="7"/>
      <c r="L21" s="7"/>
      <c r="M21" s="7"/>
      <c r="N21" s="11"/>
    </row>
    <row r="22" spans="5:14" ht="15.5" x14ac:dyDescent="0.35">
      <c r="E22" s="16"/>
      <c r="F22" s="22" t="s">
        <v>14</v>
      </c>
      <c r="G22" s="22"/>
      <c r="H22" s="22"/>
      <c r="I22" s="7"/>
      <c r="J22" s="7"/>
      <c r="K22" s="7"/>
      <c r="L22" s="7"/>
      <c r="M22" s="7"/>
      <c r="N22" s="18">
        <f>N18-N20-N21</f>
        <v>341192</v>
      </c>
    </row>
    <row r="23" spans="5:14" ht="15.5" x14ac:dyDescent="0.35"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5:14" x14ac:dyDescent="0.3"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spans="5:14" x14ac:dyDescent="0.3"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5:14" x14ac:dyDescent="0.3"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spans="5:14" x14ac:dyDescent="0.3">
      <c r="E27" s="24" t="s">
        <v>15</v>
      </c>
      <c r="F27" s="24"/>
      <c r="G27" s="24"/>
      <c r="H27" s="24"/>
      <c r="I27" s="24"/>
      <c r="J27" s="24"/>
      <c r="K27" s="24"/>
      <c r="L27" s="24"/>
      <c r="M27" s="24"/>
      <c r="N27" s="24"/>
    </row>
    <row r="28" spans="5:14" x14ac:dyDescent="0.3"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5:14" x14ac:dyDescent="0.3"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5:14" x14ac:dyDescent="0.3"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5:14" x14ac:dyDescent="0.3"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5:14" x14ac:dyDescent="0.3"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5:14" ht="15.5" x14ac:dyDescent="0.35"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5:14" ht="15.5" x14ac:dyDescent="0.35">
      <c r="E34" s="7"/>
      <c r="F34" s="7"/>
      <c r="G34" s="7"/>
      <c r="H34" s="7"/>
      <c r="I34" s="7"/>
      <c r="J34" s="7"/>
      <c r="K34" s="7"/>
      <c r="L34" s="7"/>
      <c r="M34" s="7"/>
      <c r="N34" s="7"/>
    </row>
  </sheetData>
  <mergeCells count="30">
    <mergeCell ref="E31:N32"/>
    <mergeCell ref="F20:H20"/>
    <mergeCell ref="F21:H21"/>
    <mergeCell ref="F22:H22"/>
    <mergeCell ref="E24:N26"/>
    <mergeCell ref="E27:N28"/>
    <mergeCell ref="E29:N30"/>
    <mergeCell ref="F14:M14"/>
    <mergeCell ref="F15:M15"/>
    <mergeCell ref="F16:M16"/>
    <mergeCell ref="F17:M17"/>
    <mergeCell ref="F19:N19"/>
    <mergeCell ref="E9:N9"/>
    <mergeCell ref="F10:H10"/>
    <mergeCell ref="F11:H11"/>
    <mergeCell ref="F12:H12"/>
    <mergeCell ref="F13:H13"/>
    <mergeCell ref="E8:F8"/>
    <mergeCell ref="G8:N8"/>
    <mergeCell ref="E2:N2"/>
    <mergeCell ref="E4:F4"/>
    <mergeCell ref="G4:J4"/>
    <mergeCell ref="K4:M4"/>
    <mergeCell ref="E5:F5"/>
    <mergeCell ref="G5:N5"/>
    <mergeCell ref="E6:J6"/>
    <mergeCell ref="M6:N6"/>
    <mergeCell ref="E7:F7"/>
    <mergeCell ref="G7:J7"/>
    <mergeCell ref="M7:N7"/>
  </mergeCells>
  <pageMargins left="0.7" right="0.7" top="0.75" bottom="0.75" header="0.3" footer="0.3"/>
  <pageSetup paperSize="9" scale="54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Bill-1</vt:lpstr>
      <vt:lpstr>Bill-2</vt:lpstr>
      <vt:lpstr>Bill-3</vt:lpstr>
      <vt:lpstr>Bill-4</vt:lpstr>
      <vt:lpstr>Bill-5</vt:lpstr>
      <vt:lpstr>Bill-6</vt:lpstr>
      <vt:lpstr>Bill-7</vt:lpstr>
      <vt:lpstr>Bill-8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2025-02-14T08:43:37Z</cp:lastPrinted>
  <dcterms:created xsi:type="dcterms:W3CDTF">2017-06-28T08:31:23Z</dcterms:created>
  <dcterms:modified xsi:type="dcterms:W3CDTF">2025-12-29T08:30:06Z</dcterms:modified>
</cp:coreProperties>
</file>