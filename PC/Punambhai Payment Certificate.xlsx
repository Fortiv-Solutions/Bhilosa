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45CACFBC-9A3D-490D-9CE7-36A183711B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8" i="26" l="1"/>
  <c r="J18" i="26" l="1"/>
  <c r="J17" i="26"/>
  <c r="J16" i="26"/>
  <c r="J15" i="26"/>
  <c r="J14" i="26"/>
  <c r="J13" i="26"/>
  <c r="J22" i="26"/>
  <c r="J21" i="26"/>
  <c r="J20" i="26"/>
  <c r="J19" i="26"/>
  <c r="J12" i="26"/>
  <c r="J24" i="26"/>
  <c r="J23" i="26"/>
  <c r="J11" i="26"/>
  <c r="J26" i="26"/>
  <c r="J27" i="26" l="1"/>
  <c r="J25" i="26"/>
  <c r="J31" i="26" l="1"/>
  <c r="J35" i="26" s="1"/>
</calcChain>
</file>

<file path=xl/sharedStrings.xml><?xml version="1.0" encoding="utf-8"?>
<sst xmlns="http://schemas.openxmlformats.org/spreadsheetml/2006/main" count="64" uniqueCount="48">
  <si>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</si>
  <si>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</si>
  <si>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</si>
  <si>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</si>
  <si>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</si>
  <si>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</si>
  <si>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</si>
  <si>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</si>
  <si>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</si>
  <si>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</si>
  <si>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</si>
  <si>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</si>
  <si>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</si>
  <si>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</si>
  <si>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</si>
  <si>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</si>
  <si>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</si>
  <si>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</si>
  <si>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</si>
  <si>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</si>
  <si>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</si>
  <si>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Invoice No.</t>
  </si>
  <si>
    <t>GST @ 18%</t>
  </si>
  <si>
    <t>R.ft.</t>
  </si>
  <si>
    <t>Nos.</t>
  </si>
  <si>
    <t>To, 
Tanvi Infracon - Pramukh Revanta Project</t>
  </si>
  <si>
    <t>Anop Singh Deora</t>
  </si>
  <si>
    <t>Punambhai</t>
  </si>
  <si>
    <t>Site office flooring work</t>
  </si>
  <si>
    <t>Site office flooring Labour Work</t>
  </si>
  <si>
    <t>24" X 24" Wall Tiles</t>
  </si>
  <si>
    <t>Sq.ft.</t>
  </si>
  <si>
    <t>Rate</t>
  </si>
  <si>
    <t>Door Closer</t>
  </si>
  <si>
    <t>Floor Spring</t>
  </si>
  <si>
    <t>Granite Chamfer</t>
  </si>
  <si>
    <t>Granite D.C.</t>
  </si>
  <si>
    <t>Granite Dhar Polish</t>
  </si>
  <si>
    <t>Granite Flooring</t>
  </si>
  <si>
    <t>Granite Framing</t>
  </si>
  <si>
    <t>Granite Pensile / Dhar</t>
  </si>
  <si>
    <t>Granite Platform</t>
  </si>
  <si>
    <t>Granite Top Fitting</t>
  </si>
  <si>
    <t>Groove</t>
  </si>
  <si>
    <t>Hole Cutting</t>
  </si>
  <si>
    <t>Marble Framing</t>
  </si>
  <si>
    <t>Wash Basin Top</t>
  </si>
  <si>
    <t>Seventy Two Thousand Nine Hundred Fifty Three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</si>
</sst>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NumberFormat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4" fillId="0" borderId="0" xfId="0" applyFont="1" applyAlignment="1"/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5" fillId="0" borderId="0" xfId="0" applyNumberFormat="1" applyFont="1" applyFill="1"/>
    <xf numFmtId="165" fontId="5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47"/>
  <sheetViews>
    <sheetView tabSelected="1" zoomScaleNormal="100" workbookViewId="0">
      <selection activeCell="B2" sqref="B2:J45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4" t="s">
        <v>0</v>
      </c>
      <c r="C2" s="24"/>
      <c r="D2" s="24"/>
      <c r="E2" s="24"/>
      <c r="F2" s="24"/>
      <c r="G2" s="24"/>
      <c r="H2" s="24"/>
      <c r="I2" s="24"/>
      <c r="J2" s="24"/>
    </row>
    <row r="3" spans="2:10" ht="39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0" ht="15.65" customHeight="1" x14ac:dyDescent="0.35">
      <c r="B4" s="25" t="s">
        <v>16</v>
      </c>
      <c r="C4" s="25"/>
      <c r="D4" s="26" t="s">
        <v>26</v>
      </c>
      <c r="E4" s="26"/>
      <c r="F4" s="26"/>
      <c r="G4" s="26"/>
      <c r="H4" s="27" t="s">
        <v>21</v>
      </c>
      <c r="I4" s="27"/>
      <c r="J4" s="12">
        <v>192</v>
      </c>
    </row>
    <row r="5" spans="2:10" ht="18.899999999999999" customHeight="1" x14ac:dyDescent="0.3">
      <c r="B5" s="22" t="s">
        <v>1</v>
      </c>
      <c r="C5" s="22"/>
      <c r="D5" s="23" t="s">
        <v>27</v>
      </c>
      <c r="E5" s="23"/>
      <c r="F5" s="23"/>
      <c r="G5" s="23"/>
      <c r="H5" s="23"/>
      <c r="I5" s="23"/>
      <c r="J5" s="23"/>
    </row>
    <row r="6" spans="2:10" ht="30.9" customHeight="1" x14ac:dyDescent="0.35">
      <c r="B6" s="28" t="s">
        <v>25</v>
      </c>
      <c r="C6" s="28"/>
      <c r="D6" s="28"/>
      <c r="E6" s="28"/>
      <c r="F6" s="28"/>
      <c r="G6" s="28"/>
      <c r="H6" s="10" t="s">
        <v>2</v>
      </c>
      <c r="I6" s="29">
        <v>44827</v>
      </c>
      <c r="J6" s="30"/>
    </row>
    <row r="7" spans="2:10" ht="20.149999999999999" customHeight="1" x14ac:dyDescent="0.3">
      <c r="B7" s="31" t="s">
        <v>3</v>
      </c>
      <c r="C7" s="31"/>
      <c r="D7" s="21" t="s">
        <v>28</v>
      </c>
      <c r="E7" s="21"/>
      <c r="F7" s="21"/>
      <c r="G7" s="21"/>
      <c r="H7" s="3" t="s">
        <v>17</v>
      </c>
      <c r="I7" s="29">
        <v>44615</v>
      </c>
      <c r="J7" s="30"/>
    </row>
    <row r="8" spans="2:10" ht="18.899999999999999" customHeight="1" x14ac:dyDescent="0.3">
      <c r="B8" s="22" t="s">
        <v>5</v>
      </c>
      <c r="C8" s="22"/>
      <c r="D8" s="23" t="s">
        <v>29</v>
      </c>
      <c r="E8" s="23"/>
      <c r="F8" s="23"/>
      <c r="G8" s="23"/>
      <c r="H8" s="23"/>
      <c r="I8" s="23"/>
      <c r="J8" s="23"/>
    </row>
    <row r="9" spans="2:10" ht="20.399999999999999" customHeight="1" x14ac:dyDescent="0.3">
      <c r="B9" s="22" t="s">
        <v>4</v>
      </c>
      <c r="C9" s="22"/>
      <c r="D9" s="22"/>
      <c r="E9" s="22"/>
      <c r="F9" s="22"/>
      <c r="G9" s="22"/>
      <c r="H9" s="22"/>
      <c r="I9" s="22"/>
      <c r="J9" s="22"/>
    </row>
    <row r="10" spans="2:10" ht="30" x14ac:dyDescent="0.3">
      <c r="B10" s="2" t="s">
        <v>11</v>
      </c>
      <c r="C10" s="34" t="s">
        <v>6</v>
      </c>
      <c r="D10" s="34"/>
      <c r="E10" s="34"/>
      <c r="F10" s="3" t="s">
        <v>7</v>
      </c>
      <c r="G10" s="16" t="s">
        <v>8</v>
      </c>
      <c r="H10" s="16" t="s">
        <v>9</v>
      </c>
      <c r="I10" s="2" t="s">
        <v>32</v>
      </c>
      <c r="J10" s="15" t="s">
        <v>10</v>
      </c>
    </row>
    <row r="11" spans="2:10" ht="15.5" x14ac:dyDescent="0.3">
      <c r="B11" s="4">
        <v>1</v>
      </c>
      <c r="C11" s="21" t="s">
        <v>30</v>
      </c>
      <c r="D11" s="21"/>
      <c r="E11" s="21"/>
      <c r="F11" s="5">
        <v>1</v>
      </c>
      <c r="G11" s="13">
        <v>194.46</v>
      </c>
      <c r="H11" s="4" t="s">
        <v>31</v>
      </c>
      <c r="I11" s="14">
        <v>16</v>
      </c>
      <c r="J11" s="6">
        <f>F11*I11*G11</f>
        <v>3111.36</v>
      </c>
    </row>
    <row r="12" spans="2:10" ht="15.5" x14ac:dyDescent="0.3">
      <c r="B12" s="4">
        <v>2</v>
      </c>
      <c r="C12" s="21" t="s">
        <v>33</v>
      </c>
      <c r="D12" s="21"/>
      <c r="E12" s="21"/>
      <c r="F12" s="5">
        <v>1</v>
      </c>
      <c r="G12" s="13">
        <v>1</v>
      </c>
      <c r="H12" s="4" t="s">
        <v>24</v>
      </c>
      <c r="I12" s="14">
        <v>100</v>
      </c>
      <c r="J12" s="6">
        <f>G12*I12</f>
        <v>100</v>
      </c>
    </row>
    <row r="13" spans="2:10" ht="15.5" x14ac:dyDescent="0.3">
      <c r="B13" s="4">
        <v>3</v>
      </c>
      <c r="C13" s="21" t="s">
        <v>34</v>
      </c>
      <c r="D13" s="21"/>
      <c r="E13" s="21"/>
      <c r="F13" s="5">
        <v>1</v>
      </c>
      <c r="G13" s="13">
        <v>2</v>
      </c>
      <c r="H13" s="4" t="s">
        <v>24</v>
      </c>
      <c r="I13" s="14">
        <v>100</v>
      </c>
      <c r="J13" s="6">
        <f>G13*I13</f>
        <v>200</v>
      </c>
    </row>
    <row r="14" spans="2:10" ht="15.5" x14ac:dyDescent="0.3">
      <c r="B14" s="4">
        <v>4</v>
      </c>
      <c r="C14" s="21" t="s">
        <v>35</v>
      </c>
      <c r="D14" s="21"/>
      <c r="E14" s="21"/>
      <c r="F14" s="5">
        <v>1</v>
      </c>
      <c r="G14" s="13">
        <v>8.5</v>
      </c>
      <c r="H14" s="4" t="s">
        <v>23</v>
      </c>
      <c r="I14" s="14">
        <v>14</v>
      </c>
      <c r="J14" s="6">
        <f>F14*I14*G14</f>
        <v>119</v>
      </c>
    </row>
    <row r="15" spans="2:10" ht="15.5" x14ac:dyDescent="0.3">
      <c r="B15" s="4">
        <v>5</v>
      </c>
      <c r="C15" s="21" t="s">
        <v>36</v>
      </c>
      <c r="D15" s="21"/>
      <c r="E15" s="21"/>
      <c r="F15" s="5">
        <v>1</v>
      </c>
      <c r="G15" s="13">
        <v>5.92</v>
      </c>
      <c r="H15" s="4" t="s">
        <v>23</v>
      </c>
      <c r="I15" s="14">
        <v>18</v>
      </c>
      <c r="J15" s="6">
        <f>G15*I15</f>
        <v>106.56</v>
      </c>
    </row>
    <row r="16" spans="2:10" ht="15.5" x14ac:dyDescent="0.3">
      <c r="B16" s="4">
        <v>6</v>
      </c>
      <c r="C16" s="21" t="s">
        <v>37</v>
      </c>
      <c r="D16" s="21"/>
      <c r="E16" s="21"/>
      <c r="F16" s="5">
        <v>1</v>
      </c>
      <c r="G16" s="13">
        <v>499.85</v>
      </c>
      <c r="H16" s="4" t="s">
        <v>23</v>
      </c>
      <c r="I16" s="14">
        <v>14</v>
      </c>
      <c r="J16" s="6">
        <f>G16*I16</f>
        <v>6997.9000000000005</v>
      </c>
    </row>
    <row r="17" spans="2:10" ht="15.5" x14ac:dyDescent="0.3">
      <c r="B17" s="4">
        <v>7</v>
      </c>
      <c r="C17" s="21" t="s">
        <v>38</v>
      </c>
      <c r="D17" s="21"/>
      <c r="E17" s="21"/>
      <c r="F17" s="5">
        <v>1</v>
      </c>
      <c r="G17" s="13">
        <v>797.67</v>
      </c>
      <c r="H17" s="4" t="s">
        <v>23</v>
      </c>
      <c r="I17" s="14">
        <v>23</v>
      </c>
      <c r="J17" s="6">
        <f>G17*I17</f>
        <v>18346.41</v>
      </c>
    </row>
    <row r="18" spans="2:10" ht="15.5" x14ac:dyDescent="0.3">
      <c r="B18" s="4">
        <v>8</v>
      </c>
      <c r="C18" s="21" t="s">
        <v>38</v>
      </c>
      <c r="D18" s="21"/>
      <c r="E18" s="21"/>
      <c r="F18" s="5">
        <v>1</v>
      </c>
      <c r="G18" s="13">
        <v>585.03</v>
      </c>
      <c r="H18" s="4" t="s">
        <v>31</v>
      </c>
      <c r="I18" s="14">
        <v>23</v>
      </c>
      <c r="J18" s="6">
        <f>G18*I18</f>
        <v>13455.689999999999</v>
      </c>
    </row>
    <row r="19" spans="2:10" ht="15.5" x14ac:dyDescent="0.3">
      <c r="B19" s="4">
        <v>9</v>
      </c>
      <c r="C19" s="21" t="s">
        <v>39</v>
      </c>
      <c r="D19" s="21"/>
      <c r="E19" s="21"/>
      <c r="F19" s="5">
        <v>1</v>
      </c>
      <c r="G19" s="13">
        <v>198.84</v>
      </c>
      <c r="H19" s="4" t="s">
        <v>23</v>
      </c>
      <c r="I19" s="14">
        <v>23</v>
      </c>
      <c r="J19" s="6">
        <f>G19*I19</f>
        <v>4573.32</v>
      </c>
    </row>
    <row r="20" spans="2:10" ht="15.5" x14ac:dyDescent="0.3">
      <c r="B20" s="4">
        <v>10</v>
      </c>
      <c r="C20" s="21" t="s">
        <v>40</v>
      </c>
      <c r="D20" s="21"/>
      <c r="E20" s="21"/>
      <c r="F20" s="5">
        <v>1</v>
      </c>
      <c r="G20" s="13">
        <v>57.5</v>
      </c>
      <c r="H20" s="4" t="s">
        <v>23</v>
      </c>
      <c r="I20" s="14">
        <v>25</v>
      </c>
      <c r="J20" s="6">
        <f>F20*I20*G20</f>
        <v>1437.5</v>
      </c>
    </row>
    <row r="21" spans="2:10" ht="15.5" x14ac:dyDescent="0.3">
      <c r="B21" s="4">
        <v>11</v>
      </c>
      <c r="C21" s="21" t="s">
        <v>41</v>
      </c>
      <c r="D21" s="21"/>
      <c r="E21" s="21"/>
      <c r="F21" s="5">
        <v>1</v>
      </c>
      <c r="G21" s="13">
        <v>48.5</v>
      </c>
      <c r="H21" s="4" t="s">
        <v>23</v>
      </c>
      <c r="I21" s="14">
        <v>35</v>
      </c>
      <c r="J21" s="6">
        <f>G21*I21</f>
        <v>1697.5</v>
      </c>
    </row>
    <row r="22" spans="2:10" ht="15.5" x14ac:dyDescent="0.3">
      <c r="B22" s="4">
        <v>12</v>
      </c>
      <c r="C22" s="21" t="s">
        <v>41</v>
      </c>
      <c r="D22" s="21"/>
      <c r="E22" s="21"/>
      <c r="F22" s="5">
        <v>1</v>
      </c>
      <c r="G22" s="13">
        <v>108.07</v>
      </c>
      <c r="H22" s="4" t="s">
        <v>31</v>
      </c>
      <c r="I22" s="14">
        <v>35</v>
      </c>
      <c r="J22" s="6">
        <f>G22*I22</f>
        <v>3782.45</v>
      </c>
    </row>
    <row r="23" spans="2:10" ht="15.5" x14ac:dyDescent="0.3">
      <c r="B23" s="4">
        <v>13</v>
      </c>
      <c r="C23" s="21" t="s">
        <v>42</v>
      </c>
      <c r="D23" s="21"/>
      <c r="E23" s="21"/>
      <c r="F23" s="5">
        <v>1</v>
      </c>
      <c r="G23" s="13">
        <v>193.51</v>
      </c>
      <c r="H23" s="4" t="s">
        <v>31</v>
      </c>
      <c r="I23" s="14">
        <v>35</v>
      </c>
      <c r="J23" s="6">
        <f>G23*I23</f>
        <v>6772.8499999999995</v>
      </c>
    </row>
    <row r="24" spans="2:10" ht="15.5" x14ac:dyDescent="0.3">
      <c r="B24" s="4">
        <v>14</v>
      </c>
      <c r="C24" s="21" t="s">
        <v>43</v>
      </c>
      <c r="D24" s="21"/>
      <c r="E24" s="21"/>
      <c r="F24" s="5">
        <v>1</v>
      </c>
      <c r="G24" s="13">
        <v>1258.4000000000001</v>
      </c>
      <c r="H24" s="4" t="s">
        <v>23</v>
      </c>
      <c r="I24" s="14">
        <v>7</v>
      </c>
      <c r="J24" s="6">
        <f>G24*I24</f>
        <v>8808.8000000000011</v>
      </c>
    </row>
    <row r="25" spans="2:10" ht="15.5" x14ac:dyDescent="0.3">
      <c r="B25" s="4">
        <v>15</v>
      </c>
      <c r="C25" s="21" t="s">
        <v>44</v>
      </c>
      <c r="D25" s="21"/>
      <c r="E25" s="21"/>
      <c r="F25" s="5">
        <v>1</v>
      </c>
      <c r="G25" s="13">
        <v>2</v>
      </c>
      <c r="H25" s="4" t="s">
        <v>24</v>
      </c>
      <c r="I25" s="14">
        <v>40</v>
      </c>
      <c r="J25" s="6">
        <f>F25*I25*G25</f>
        <v>80</v>
      </c>
    </row>
    <row r="26" spans="2:10" ht="15.5" x14ac:dyDescent="0.3">
      <c r="B26" s="4">
        <v>16</v>
      </c>
      <c r="C26" s="21" t="s">
        <v>45</v>
      </c>
      <c r="D26" s="21"/>
      <c r="E26" s="21"/>
      <c r="F26" s="5">
        <v>1</v>
      </c>
      <c r="G26" s="13">
        <v>78.17</v>
      </c>
      <c r="H26" s="4" t="s">
        <v>23</v>
      </c>
      <c r="I26" s="14">
        <v>20</v>
      </c>
      <c r="J26" s="6">
        <f>G26*I26</f>
        <v>1563.4</v>
      </c>
    </row>
    <row r="27" spans="2:10" ht="15.5" x14ac:dyDescent="0.3">
      <c r="B27" s="4">
        <v>17</v>
      </c>
      <c r="C27" s="21" t="s">
        <v>46</v>
      </c>
      <c r="D27" s="21"/>
      <c r="E27" s="21"/>
      <c r="F27" s="5">
        <v>1</v>
      </c>
      <c r="G27" s="13">
        <v>1</v>
      </c>
      <c r="H27" s="4" t="s">
        <v>24</v>
      </c>
      <c r="I27" s="14">
        <v>1800</v>
      </c>
      <c r="J27" s="6">
        <f>G27*I27</f>
        <v>1800</v>
      </c>
    </row>
    <row r="28" spans="2:10" ht="17.399999999999999" customHeight="1" x14ac:dyDescent="0.35">
      <c r="B28" s="18"/>
      <c r="C28" s="32" t="s">
        <v>18</v>
      </c>
      <c r="D28" s="32"/>
      <c r="E28" s="32"/>
      <c r="F28" s="32"/>
      <c r="G28" s="32"/>
      <c r="H28" s="32"/>
      <c r="I28" s="32"/>
      <c r="J28" s="20">
        <f>SUM(J11:J27)</f>
        <v>72952.739999999991</v>
      </c>
    </row>
    <row r="29" spans="2:10" ht="17.399999999999999" customHeight="1" x14ac:dyDescent="0.35">
      <c r="B29" s="18"/>
      <c r="C29" s="33" t="s">
        <v>22</v>
      </c>
      <c r="D29" s="33"/>
      <c r="E29" s="33"/>
      <c r="F29" s="33"/>
      <c r="G29" s="33"/>
      <c r="H29" s="33"/>
      <c r="I29" s="33"/>
      <c r="J29" s="7">
        <v>0</v>
      </c>
    </row>
    <row r="30" spans="2:10" ht="17.399999999999999" customHeight="1" x14ac:dyDescent="0.35">
      <c r="B30" s="18"/>
      <c r="C30" s="33"/>
      <c r="D30" s="33"/>
      <c r="E30" s="33"/>
      <c r="F30" s="33"/>
      <c r="G30" s="33"/>
      <c r="H30" s="33"/>
      <c r="I30" s="33"/>
      <c r="J30" s="7"/>
    </row>
    <row r="31" spans="2:10" ht="17.399999999999999" customHeight="1" x14ac:dyDescent="0.35">
      <c r="B31" s="18"/>
      <c r="C31" s="15"/>
      <c r="D31" s="15"/>
      <c r="E31" s="15"/>
      <c r="F31" s="15"/>
      <c r="G31" s="15"/>
      <c r="H31" s="15"/>
      <c r="I31" s="15"/>
      <c r="J31" s="20">
        <f>J28+J29+J30</f>
        <v>72952.739999999991</v>
      </c>
    </row>
    <row r="32" spans="2:10" ht="15.5" x14ac:dyDescent="0.35">
      <c r="B32" s="8"/>
      <c r="C32" s="35" t="s">
        <v>47</v>
      </c>
      <c r="D32" s="35"/>
      <c r="E32" s="35"/>
      <c r="F32" s="35"/>
      <c r="G32" s="35"/>
      <c r="H32" s="35"/>
      <c r="I32" s="35"/>
      <c r="J32" s="35"/>
    </row>
    <row r="33" spans="2:12" ht="15.5" x14ac:dyDescent="0.35">
      <c r="B33" s="18"/>
      <c r="C33" s="26" t="s">
        <v>12</v>
      </c>
      <c r="D33" s="26"/>
      <c r="E33" s="26"/>
      <c r="F33" s="8"/>
      <c r="G33" s="8"/>
      <c r="H33" s="8"/>
      <c r="I33" s="8"/>
      <c r="J33" s="9">
        <v>0</v>
      </c>
    </row>
    <row r="34" spans="2:12" ht="15.5" x14ac:dyDescent="0.35">
      <c r="B34" s="18"/>
      <c r="C34" s="26" t="s">
        <v>20</v>
      </c>
      <c r="D34" s="26"/>
      <c r="E34" s="26"/>
      <c r="F34" s="8"/>
      <c r="G34" s="8"/>
      <c r="H34" s="8"/>
      <c r="I34" s="8"/>
      <c r="J34" s="9">
        <v>0</v>
      </c>
    </row>
    <row r="35" spans="2:12" ht="15.5" x14ac:dyDescent="0.35">
      <c r="B35" s="18"/>
      <c r="C35" s="26" t="s">
        <v>13</v>
      </c>
      <c r="D35" s="26"/>
      <c r="E35" s="26"/>
      <c r="F35" s="8"/>
      <c r="G35" s="8" t="s">
        <v>19</v>
      </c>
      <c r="H35" s="8"/>
      <c r="I35" s="8"/>
      <c r="J35" s="19">
        <f>J31</f>
        <v>72952.739999999991</v>
      </c>
    </row>
    <row r="36" spans="2:12" ht="15.5" x14ac:dyDescent="0.35">
      <c r="B36" s="8"/>
      <c r="C36" s="26"/>
      <c r="D36" s="26"/>
      <c r="E36" s="26"/>
      <c r="F36" s="8"/>
      <c r="G36" s="8"/>
      <c r="H36" s="8"/>
      <c r="I36" s="8"/>
      <c r="J36" s="8"/>
      <c r="L36" s="11"/>
    </row>
    <row r="37" spans="2:12" x14ac:dyDescent="0.3">
      <c r="B37" s="23" t="s">
        <v>14</v>
      </c>
      <c r="C37" s="23"/>
      <c r="D37" s="23"/>
      <c r="E37" s="23"/>
      <c r="F37" s="23"/>
      <c r="G37" s="23"/>
      <c r="H37" s="23"/>
      <c r="I37" s="23"/>
      <c r="J37" s="23"/>
    </row>
    <row r="38" spans="2:12" x14ac:dyDescent="0.3">
      <c r="B38" s="23"/>
      <c r="C38" s="23"/>
      <c r="D38" s="23"/>
      <c r="E38" s="23"/>
      <c r="F38" s="23"/>
      <c r="G38" s="23"/>
      <c r="H38" s="23"/>
      <c r="I38" s="23"/>
      <c r="J38" s="23"/>
    </row>
    <row r="39" spans="2:12" x14ac:dyDescent="0.3">
      <c r="B39" s="23"/>
      <c r="C39" s="23"/>
      <c r="D39" s="23"/>
      <c r="E39" s="23"/>
      <c r="F39" s="23"/>
      <c r="G39" s="23"/>
      <c r="H39" s="23"/>
      <c r="I39" s="23"/>
      <c r="J39" s="23"/>
    </row>
    <row r="42" spans="2:12" ht="14.15" customHeight="1" x14ac:dyDescent="0.3">
      <c r="B42" s="22" t="s">
        <v>15</v>
      </c>
      <c r="C42" s="22"/>
      <c r="D42" s="22"/>
      <c r="E42" s="22"/>
      <c r="F42" s="22"/>
      <c r="G42" s="22"/>
      <c r="H42" s="22"/>
      <c r="I42" s="22"/>
      <c r="J42" s="22"/>
    </row>
    <row r="43" spans="2:12" ht="14.15" customHeight="1" x14ac:dyDescent="0.3">
      <c r="B43" s="22"/>
      <c r="C43" s="22"/>
      <c r="D43" s="22"/>
      <c r="E43" s="22"/>
      <c r="F43" s="22"/>
      <c r="G43" s="22"/>
      <c r="H43" s="22"/>
      <c r="I43" s="22"/>
      <c r="J43" s="22"/>
    </row>
    <row r="44" spans="2:12" x14ac:dyDescent="0.3">
      <c r="B44" s="22"/>
      <c r="C44" s="22"/>
      <c r="D44" s="22"/>
      <c r="E44" s="22"/>
      <c r="F44" s="22"/>
      <c r="G44" s="22"/>
      <c r="H44" s="22"/>
      <c r="I44" s="22"/>
      <c r="J44" s="22"/>
    </row>
    <row r="45" spans="2:12" x14ac:dyDescent="0.3">
      <c r="B45" s="22"/>
      <c r="C45" s="22"/>
      <c r="D45" s="22"/>
      <c r="E45" s="22"/>
      <c r="F45" s="22"/>
      <c r="G45" s="22"/>
      <c r="H45" s="22"/>
      <c r="I45" s="22"/>
      <c r="J45" s="22"/>
    </row>
    <row r="46" spans="2:12" ht="15.5" x14ac:dyDescent="0.35">
      <c r="B46" s="8"/>
      <c r="C46" s="8"/>
      <c r="D46" s="8"/>
      <c r="E46" s="8"/>
      <c r="F46" s="8"/>
      <c r="G46" s="8"/>
      <c r="H46" s="8"/>
      <c r="I46" s="8"/>
      <c r="J46" s="8"/>
    </row>
    <row r="47" spans="2:12" ht="15.5" x14ac:dyDescent="0.35">
      <c r="B47" s="8"/>
      <c r="C47" s="8"/>
      <c r="D47" s="8"/>
      <c r="E47" s="8"/>
      <c r="F47" s="8"/>
      <c r="G47" s="8"/>
      <c r="H47" s="8"/>
      <c r="I47" s="8"/>
      <c r="J47" s="8"/>
    </row>
  </sheetData>
  <mergeCells count="43">
    <mergeCell ref="B42:J43"/>
    <mergeCell ref="B44:J45"/>
    <mergeCell ref="C32:J32"/>
    <mergeCell ref="C33:E33"/>
    <mergeCell ref="C34:E34"/>
    <mergeCell ref="C35:E35"/>
    <mergeCell ref="C36:E36"/>
    <mergeCell ref="B37:J39"/>
    <mergeCell ref="C28:I28"/>
    <mergeCell ref="C29:I29"/>
    <mergeCell ref="C30:I30"/>
    <mergeCell ref="B9:J9"/>
    <mergeCell ref="C10:E10"/>
    <mergeCell ref="C25:E25"/>
    <mergeCell ref="C27:E27"/>
    <mergeCell ref="C26:E26"/>
    <mergeCell ref="C11:E11"/>
    <mergeCell ref="C23:E23"/>
    <mergeCell ref="C24:E24"/>
    <mergeCell ref="C12:E12"/>
    <mergeCell ref="C19:E19"/>
    <mergeCell ref="C20:E20"/>
    <mergeCell ref="C21:E21"/>
    <mergeCell ref="C22:E22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C18:E18"/>
    <mergeCell ref="C13:E13"/>
    <mergeCell ref="C14:E14"/>
    <mergeCell ref="C15:E15"/>
    <mergeCell ref="C16:E16"/>
    <mergeCell ref="C17:E17"/>
  </mergeCells>
  <pageMargins left="0.7" right="0.7" top="0.75" bottom="0.75" header="0.3" footer="0.3"/>
  <pageSetup paperSize="9" scale="7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2022-09-23T13:34:27Z</cp:lastPrinted>
  <dcterms:created xsi:type="dcterms:W3CDTF">2017-06-28T08:31:23Z</dcterms:created>
  <dcterms:modified xsi:type="dcterms:W3CDTF">2022-10-14T10:40:15Z</dcterms:modified>
</cp:coreProperties>
</file>