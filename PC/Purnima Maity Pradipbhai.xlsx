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D1DBB8ED-D61F-446B-9B37-306CEC1C2F4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1" sheetId="26" r:id="rId1"/>
    <sheet name="2" sheetId="27" r:id="rId2"/>
    <sheet name="3" sheetId="2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28" l="1"/>
  <c r="J13" i="28"/>
  <c r="J12" i="28"/>
  <c r="I12" i="28"/>
  <c r="J11" i="28"/>
  <c r="I11" i="28"/>
  <c r="I13" i="27"/>
  <c r="I12" i="27"/>
  <c r="I11" i="27"/>
  <c r="J14" i="28" l="1"/>
  <c r="J17" i="28" s="1"/>
  <c r="J21" i="28" s="1"/>
  <c r="J13" i="27"/>
  <c r="J12" i="27"/>
  <c r="J11" i="27"/>
  <c r="J12" i="26"/>
  <c r="J14" i="27" l="1"/>
  <c r="J17" i="27" s="1"/>
  <c r="J21" i="27" s="1"/>
  <c r="J13" i="26"/>
  <c r="J11" i="26"/>
  <c r="J14" i="26" l="1"/>
  <c r="J17" i="26" s="1"/>
  <c r="J21" i="26" s="1"/>
</calcChain>
</file>

<file path=xl/sharedStrings.xml><?xml version="1.0" encoding="utf-8"?>
<sst xmlns="http://schemas.openxmlformats.org/spreadsheetml/2006/main" count="108" uniqueCount="42">
  <si>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</si>
  <si>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</si>
  <si>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</si>
  <si>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</si>
  <si>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</si>
  <si>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</si>
  <si>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</si>
  <si>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</si>
  <si>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</si>
  <si>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</si>
  <si>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Amount</t>
  </si>
  <si>
    <t>Sr.
No.</t>
  </si>
  <si>
    <t xml:space="preserve">Advance Payment </t>
  </si>
  <si>
    <t>Balance Payment to be paid</t>
  </si>
  <si>
    <t>TDS will be deducted as per applicable rules at your end</t>
  </si>
  <si>
    <t xml:space="preserve">Approved By - </t>
  </si>
  <si>
    <t xml:space="preserve">Company Name </t>
  </si>
  <si>
    <t>Bill Date</t>
  </si>
  <si>
    <t xml:space="preserve">Total Bill Amount </t>
  </si>
  <si>
    <t xml:space="preserve"> </t>
  </si>
  <si>
    <t>Retention @ 5% to be deducted</t>
  </si>
  <si>
    <t>Invoice No.</t>
  </si>
  <si>
    <t>Plumbing Work</t>
  </si>
  <si>
    <t>GST @ 18%</t>
  </si>
  <si>
    <t>R.ft.</t>
  </si>
  <si>
    <t>Nos.</t>
  </si>
  <si>
    <t>To, 
Tanvi Infracon - Pramukh Revanta Project</t>
  </si>
  <si>
    <t>Site level Drainage and Plumbing line work</t>
  </si>
  <si>
    <t>Purnima Maity</t>
  </si>
  <si>
    <t>Pradipbhai</t>
  </si>
  <si>
    <t>Main Hole Chamber ( 24" X 24")</t>
  </si>
  <si>
    <t>Rate</t>
  </si>
  <si>
    <t>6" PVC Line work for Storm water</t>
  </si>
  <si>
    <t>8" PVC Line work for Storm water</t>
  </si>
  <si>
    <t>Seventy Six Thousand Three Hundred Five Only</t>
  </si>
  <si>
    <t>D- Building Plumbing work</t>
  </si>
  <si>
    <t>Inlet Fitting work</t>
  </si>
  <si>
    <t>Internal Drainage Line Work</t>
  </si>
  <si>
    <t>External Vertical Line work</t>
  </si>
  <si>
    <t>Two Lakh Sixty Nine Thousand Seven Hundred Fifty Only</t>
  </si>
  <si>
    <t>Waterproofing work</t>
  </si>
  <si>
    <t>Two lakh Fifty Eight Thousand Three Hundred Seventy Five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</si>
</sst>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164" fontId="5" fillId="0" borderId="0" xfId="1" applyFont="1"/>
    <xf numFmtId="0" fontId="5" fillId="0" borderId="0" xfId="0" applyFont="1" applyAlignment="1">
      <alignment vertical="center"/>
    </xf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5" fillId="0" borderId="0" xfId="0" applyNumberFormat="1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3"/>
  <sheetViews>
    <sheetView topLeftCell="A10" zoomScaleNormal="100" workbookViewId="0">
      <selection activeCell="J4" sqref="J4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7" t="s">
        <v>0</v>
      </c>
      <c r="C2" s="27"/>
      <c r="D2" s="27"/>
      <c r="E2" s="27"/>
      <c r="F2" s="27"/>
      <c r="G2" s="27"/>
      <c r="H2" s="27"/>
      <c r="I2" s="27"/>
      <c r="J2" s="27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28" t="s">
        <v>16</v>
      </c>
      <c r="C4" s="28"/>
      <c r="D4" s="21" t="s">
        <v>28</v>
      </c>
      <c r="E4" s="21"/>
      <c r="F4" s="21"/>
      <c r="G4" s="21"/>
      <c r="H4" s="29" t="s">
        <v>21</v>
      </c>
      <c r="I4" s="29"/>
      <c r="J4" s="8">
        <v>2</v>
      </c>
    </row>
    <row r="5" spans="2:10" ht="18.899999999999999" customHeight="1" x14ac:dyDescent="0.3">
      <c r="B5" s="19" t="s">
        <v>1</v>
      </c>
      <c r="C5" s="19"/>
      <c r="D5" s="22" t="s">
        <v>29</v>
      </c>
      <c r="E5" s="22"/>
      <c r="F5" s="22"/>
      <c r="G5" s="22"/>
      <c r="H5" s="22"/>
      <c r="I5" s="22"/>
      <c r="J5" s="22"/>
    </row>
    <row r="6" spans="2:10" ht="30.9" customHeight="1" x14ac:dyDescent="0.35">
      <c r="B6" s="30" t="s">
        <v>26</v>
      </c>
      <c r="C6" s="30"/>
      <c r="D6" s="30"/>
      <c r="E6" s="30"/>
      <c r="F6" s="30"/>
      <c r="G6" s="30"/>
      <c r="H6" s="10" t="s">
        <v>2</v>
      </c>
      <c r="I6" s="31">
        <v>45126</v>
      </c>
      <c r="J6" s="32"/>
    </row>
    <row r="7" spans="2:10" ht="20.149999999999999" customHeight="1" x14ac:dyDescent="0.3">
      <c r="B7" s="33" t="s">
        <v>3</v>
      </c>
      <c r="C7" s="33"/>
      <c r="D7" s="26" t="s">
        <v>22</v>
      </c>
      <c r="E7" s="26"/>
      <c r="F7" s="26"/>
      <c r="G7" s="26"/>
      <c r="H7" s="3" t="s">
        <v>17</v>
      </c>
      <c r="I7" s="31">
        <v>45113</v>
      </c>
      <c r="J7" s="32"/>
    </row>
    <row r="8" spans="2:10" ht="18.899999999999999" customHeight="1" x14ac:dyDescent="0.3">
      <c r="B8" s="19" t="s">
        <v>5</v>
      </c>
      <c r="C8" s="19"/>
      <c r="D8" s="22" t="s">
        <v>27</v>
      </c>
      <c r="E8" s="22"/>
      <c r="F8" s="22"/>
      <c r="G8" s="22"/>
      <c r="H8" s="22"/>
      <c r="I8" s="22"/>
      <c r="J8" s="22"/>
    </row>
    <row r="9" spans="2:10" ht="20.399999999999999" customHeight="1" x14ac:dyDescent="0.3">
      <c r="B9" s="19" t="s">
        <v>4</v>
      </c>
      <c r="C9" s="19"/>
      <c r="D9" s="19"/>
      <c r="E9" s="19"/>
      <c r="F9" s="19"/>
      <c r="G9" s="19"/>
      <c r="H9" s="19"/>
      <c r="I9" s="19"/>
      <c r="J9" s="19"/>
    </row>
    <row r="10" spans="2:10" ht="30" x14ac:dyDescent="0.3">
      <c r="B10" s="2" t="s">
        <v>11</v>
      </c>
      <c r="C10" s="25" t="s">
        <v>6</v>
      </c>
      <c r="D10" s="25"/>
      <c r="E10" s="25"/>
      <c r="F10" s="3" t="s">
        <v>7</v>
      </c>
      <c r="G10" s="15" t="s">
        <v>8</v>
      </c>
      <c r="H10" s="15" t="s">
        <v>9</v>
      </c>
      <c r="I10" s="2" t="s">
        <v>31</v>
      </c>
      <c r="J10" s="14" t="s">
        <v>10</v>
      </c>
    </row>
    <row r="11" spans="2:10" ht="33.9" customHeight="1" x14ac:dyDescent="0.3">
      <c r="B11" s="4">
        <v>1</v>
      </c>
      <c r="C11" s="26" t="s">
        <v>30</v>
      </c>
      <c r="D11" s="26"/>
      <c r="E11" s="26"/>
      <c r="F11" s="5">
        <v>1</v>
      </c>
      <c r="G11" s="12">
        <v>16</v>
      </c>
      <c r="H11" s="4" t="s">
        <v>25</v>
      </c>
      <c r="I11" s="13">
        <v>2200</v>
      </c>
      <c r="J11" s="6">
        <f>F11*I11*G11</f>
        <v>35200</v>
      </c>
    </row>
    <row r="12" spans="2:10" ht="33.9" customHeight="1" x14ac:dyDescent="0.3">
      <c r="B12" s="4">
        <v>2</v>
      </c>
      <c r="C12" s="26" t="s">
        <v>32</v>
      </c>
      <c r="D12" s="26"/>
      <c r="E12" s="26"/>
      <c r="F12" s="5">
        <v>1</v>
      </c>
      <c r="G12" s="12">
        <v>281</v>
      </c>
      <c r="H12" s="4" t="s">
        <v>24</v>
      </c>
      <c r="I12" s="13">
        <v>60</v>
      </c>
      <c r="J12" s="6">
        <f>G12*I12</f>
        <v>16860</v>
      </c>
    </row>
    <row r="13" spans="2:10" ht="33.9" customHeight="1" x14ac:dyDescent="0.3">
      <c r="B13" s="4">
        <v>3</v>
      </c>
      <c r="C13" s="26" t="s">
        <v>33</v>
      </c>
      <c r="D13" s="26"/>
      <c r="E13" s="26"/>
      <c r="F13" s="5">
        <v>1</v>
      </c>
      <c r="G13" s="12">
        <v>373</v>
      </c>
      <c r="H13" s="4" t="s">
        <v>24</v>
      </c>
      <c r="I13" s="13">
        <v>65</v>
      </c>
      <c r="J13" s="6">
        <f>G13*I13</f>
        <v>24245</v>
      </c>
    </row>
    <row r="14" spans="2:10" ht="17.399999999999999" customHeight="1" x14ac:dyDescent="0.35">
      <c r="B14" s="17"/>
      <c r="C14" s="23" t="s">
        <v>18</v>
      </c>
      <c r="D14" s="23"/>
      <c r="E14" s="23"/>
      <c r="F14" s="23"/>
      <c r="G14" s="23"/>
      <c r="H14" s="23"/>
      <c r="I14" s="23"/>
      <c r="J14" s="7">
        <f>SUM(J11:J13)</f>
        <v>76305</v>
      </c>
    </row>
    <row r="15" spans="2:10" ht="17.399999999999999" customHeight="1" x14ac:dyDescent="0.35">
      <c r="B15" s="17"/>
      <c r="C15" s="24" t="s">
        <v>23</v>
      </c>
      <c r="D15" s="24"/>
      <c r="E15" s="24"/>
      <c r="F15" s="24"/>
      <c r="G15" s="24"/>
      <c r="H15" s="24"/>
      <c r="I15" s="24"/>
      <c r="J15" s="7">
        <v>0</v>
      </c>
    </row>
    <row r="16" spans="2:10" ht="17.399999999999999" customHeight="1" x14ac:dyDescent="0.35">
      <c r="B16" s="17"/>
      <c r="C16" s="24"/>
      <c r="D16" s="24"/>
      <c r="E16" s="24"/>
      <c r="F16" s="24"/>
      <c r="G16" s="24"/>
      <c r="H16" s="24"/>
      <c r="I16" s="24"/>
      <c r="J16" s="7"/>
    </row>
    <row r="17" spans="2:12" ht="17.399999999999999" customHeight="1" x14ac:dyDescent="0.35">
      <c r="B17" s="17"/>
      <c r="C17" s="14"/>
      <c r="D17" s="14"/>
      <c r="E17" s="14"/>
      <c r="F17" s="14"/>
      <c r="G17" s="14"/>
      <c r="H17" s="14"/>
      <c r="I17" s="14"/>
      <c r="J17" s="7">
        <f>J14+J15+J16</f>
        <v>76305</v>
      </c>
    </row>
    <row r="18" spans="2:12" ht="15.5" x14ac:dyDescent="0.35">
      <c r="B18" s="8"/>
      <c r="C18" s="20" t="s">
        <v>34</v>
      </c>
      <c r="D18" s="20"/>
      <c r="E18" s="20"/>
      <c r="F18" s="20"/>
      <c r="G18" s="20"/>
      <c r="H18" s="20"/>
      <c r="I18" s="20"/>
      <c r="J18" s="20"/>
    </row>
    <row r="19" spans="2:12" ht="15.5" x14ac:dyDescent="0.35">
      <c r="B19" s="17"/>
      <c r="C19" s="21" t="s">
        <v>12</v>
      </c>
      <c r="D19" s="21"/>
      <c r="E19" s="21"/>
      <c r="F19" s="8"/>
      <c r="G19" s="8"/>
      <c r="H19" s="8"/>
      <c r="I19" s="8"/>
      <c r="J19" s="9">
        <v>0</v>
      </c>
    </row>
    <row r="20" spans="2:12" ht="15.5" x14ac:dyDescent="0.35">
      <c r="B20" s="17"/>
      <c r="C20" s="21" t="s">
        <v>20</v>
      </c>
      <c r="D20" s="21"/>
      <c r="E20" s="21"/>
      <c r="F20" s="8"/>
      <c r="G20" s="8"/>
      <c r="H20" s="8"/>
      <c r="I20" s="8"/>
      <c r="J20" s="9">
        <v>0</v>
      </c>
    </row>
    <row r="21" spans="2:12" ht="15.5" x14ac:dyDescent="0.35">
      <c r="B21" s="17"/>
      <c r="C21" s="21" t="s">
        <v>13</v>
      </c>
      <c r="D21" s="21"/>
      <c r="E21" s="21"/>
      <c r="F21" s="8"/>
      <c r="G21" s="8" t="s">
        <v>19</v>
      </c>
      <c r="H21" s="8"/>
      <c r="I21" s="8"/>
      <c r="J21" s="18">
        <f>J17</f>
        <v>76305</v>
      </c>
    </row>
    <row r="22" spans="2:12" ht="15.5" x14ac:dyDescent="0.35">
      <c r="B22" s="8"/>
      <c r="C22" s="21"/>
      <c r="D22" s="21"/>
      <c r="E22" s="21"/>
      <c r="F22" s="8"/>
      <c r="G22" s="8"/>
      <c r="H22" s="8"/>
      <c r="I22" s="8"/>
      <c r="J22" s="8"/>
      <c r="L22" s="11"/>
    </row>
    <row r="23" spans="2:12" x14ac:dyDescent="0.3">
      <c r="B23" s="22" t="s">
        <v>14</v>
      </c>
      <c r="C23" s="22"/>
      <c r="D23" s="22"/>
      <c r="E23" s="22"/>
      <c r="F23" s="22"/>
      <c r="G23" s="22"/>
      <c r="H23" s="22"/>
      <c r="I23" s="22"/>
      <c r="J23" s="22"/>
    </row>
    <row r="24" spans="2:12" x14ac:dyDescent="0.3">
      <c r="B24" s="22"/>
      <c r="C24" s="22"/>
      <c r="D24" s="22"/>
      <c r="E24" s="22"/>
      <c r="F24" s="22"/>
      <c r="G24" s="22"/>
      <c r="H24" s="22"/>
      <c r="I24" s="22"/>
      <c r="J24" s="22"/>
    </row>
    <row r="25" spans="2:12" x14ac:dyDescent="0.3">
      <c r="B25" s="22"/>
      <c r="C25" s="22"/>
      <c r="D25" s="22"/>
      <c r="E25" s="22"/>
      <c r="F25" s="22"/>
      <c r="G25" s="22"/>
      <c r="H25" s="22"/>
      <c r="I25" s="22"/>
      <c r="J25" s="22"/>
    </row>
    <row r="28" spans="2:12" ht="14.15" customHeight="1" x14ac:dyDescent="0.3">
      <c r="B28" s="19" t="s">
        <v>15</v>
      </c>
      <c r="C28" s="19"/>
      <c r="D28" s="19"/>
      <c r="E28" s="19"/>
      <c r="F28" s="19"/>
      <c r="G28" s="19"/>
      <c r="H28" s="19"/>
      <c r="I28" s="19"/>
      <c r="J28" s="19"/>
    </row>
    <row r="29" spans="2:12" ht="14.15" customHeight="1" x14ac:dyDescent="0.3">
      <c r="B29" s="19"/>
      <c r="C29" s="19"/>
      <c r="D29" s="19"/>
      <c r="E29" s="19"/>
      <c r="F29" s="19"/>
      <c r="G29" s="19"/>
      <c r="H29" s="19"/>
      <c r="I29" s="19"/>
      <c r="J29" s="19"/>
    </row>
    <row r="30" spans="2:12" x14ac:dyDescent="0.3">
      <c r="B30" s="19"/>
      <c r="C30" s="19"/>
      <c r="D30" s="19"/>
      <c r="E30" s="19"/>
      <c r="F30" s="19"/>
      <c r="G30" s="19"/>
      <c r="H30" s="19"/>
      <c r="I30" s="19"/>
      <c r="J30" s="19"/>
    </row>
    <row r="31" spans="2:12" x14ac:dyDescent="0.3">
      <c r="B31" s="19"/>
      <c r="C31" s="19"/>
      <c r="D31" s="19"/>
      <c r="E31" s="19"/>
      <c r="F31" s="19"/>
      <c r="G31" s="19"/>
      <c r="H31" s="19"/>
      <c r="I31" s="19"/>
      <c r="J31" s="19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</sheetData>
  <mergeCells count="29"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  <mergeCell ref="C14:I14"/>
    <mergeCell ref="C15:I15"/>
    <mergeCell ref="C16:I16"/>
    <mergeCell ref="B9:J9"/>
    <mergeCell ref="C10:E10"/>
    <mergeCell ref="C11:E11"/>
    <mergeCell ref="C13:E13"/>
    <mergeCell ref="C12:E12"/>
    <mergeCell ref="B28:J29"/>
    <mergeCell ref="B30:J31"/>
    <mergeCell ref="C18:J18"/>
    <mergeCell ref="C19:E19"/>
    <mergeCell ref="C20:E20"/>
    <mergeCell ref="C21:E21"/>
    <mergeCell ref="C22:E22"/>
    <mergeCell ref="B23:J25"/>
  </mergeCells>
  <pageMargins left="0.7" right="0.7" top="0.75" bottom="0.75" header="0.3" footer="0.3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BD5F-A924-4680-B1E5-E0BDA9A27237}">
  <sheetPr>
    <pageSetUpPr fitToPage="1"/>
  </sheetPr>
  <dimension ref="B2:L33"/>
  <sheetViews>
    <sheetView topLeftCell="A7" zoomScaleNormal="100" workbookViewId="0">
      <selection activeCell="I13" sqref="I13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7" t="s">
        <v>0</v>
      </c>
      <c r="C2" s="27"/>
      <c r="D2" s="27"/>
      <c r="E2" s="27"/>
      <c r="F2" s="27"/>
      <c r="G2" s="27"/>
      <c r="H2" s="27"/>
      <c r="I2" s="27"/>
      <c r="J2" s="27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28" t="s">
        <v>16</v>
      </c>
      <c r="C4" s="28"/>
      <c r="D4" s="21" t="s">
        <v>28</v>
      </c>
      <c r="E4" s="21"/>
      <c r="F4" s="21"/>
      <c r="G4" s="21"/>
      <c r="H4" s="29" t="s">
        <v>21</v>
      </c>
      <c r="I4" s="29"/>
      <c r="J4" s="8">
        <v>51</v>
      </c>
    </row>
    <row r="5" spans="2:10" ht="18.899999999999999" customHeight="1" x14ac:dyDescent="0.3">
      <c r="B5" s="19" t="s">
        <v>1</v>
      </c>
      <c r="C5" s="19"/>
      <c r="D5" s="22" t="s">
        <v>29</v>
      </c>
      <c r="E5" s="22"/>
      <c r="F5" s="22"/>
      <c r="G5" s="22"/>
      <c r="H5" s="22"/>
      <c r="I5" s="22"/>
      <c r="J5" s="22"/>
    </row>
    <row r="6" spans="2:10" ht="30.9" customHeight="1" x14ac:dyDescent="0.35">
      <c r="B6" s="30" t="s">
        <v>26</v>
      </c>
      <c r="C6" s="30"/>
      <c r="D6" s="30"/>
      <c r="E6" s="30"/>
      <c r="F6" s="30"/>
      <c r="G6" s="30"/>
      <c r="H6" s="10" t="s">
        <v>2</v>
      </c>
      <c r="I6" s="31">
        <v>45311</v>
      </c>
      <c r="J6" s="32"/>
    </row>
    <row r="7" spans="2:10" ht="20.149999999999999" customHeight="1" x14ac:dyDescent="0.3">
      <c r="B7" s="33" t="s">
        <v>3</v>
      </c>
      <c r="C7" s="33"/>
      <c r="D7" s="26" t="s">
        <v>22</v>
      </c>
      <c r="E7" s="26"/>
      <c r="F7" s="26"/>
      <c r="G7" s="26"/>
      <c r="H7" s="3" t="s">
        <v>17</v>
      </c>
      <c r="I7" s="31">
        <v>45292</v>
      </c>
      <c r="J7" s="32"/>
    </row>
    <row r="8" spans="2:10" ht="18.899999999999999" customHeight="1" x14ac:dyDescent="0.3">
      <c r="B8" s="19" t="s">
        <v>5</v>
      </c>
      <c r="C8" s="19"/>
      <c r="D8" s="22" t="s">
        <v>35</v>
      </c>
      <c r="E8" s="22"/>
      <c r="F8" s="22"/>
      <c r="G8" s="22"/>
      <c r="H8" s="22"/>
      <c r="I8" s="22"/>
      <c r="J8" s="22"/>
    </row>
    <row r="9" spans="2:10" ht="20.399999999999999" customHeight="1" x14ac:dyDescent="0.3">
      <c r="B9" s="19" t="s">
        <v>4</v>
      </c>
      <c r="C9" s="19"/>
      <c r="D9" s="19"/>
      <c r="E9" s="19"/>
      <c r="F9" s="19"/>
      <c r="G9" s="19"/>
      <c r="H9" s="19"/>
      <c r="I9" s="19"/>
      <c r="J9" s="19"/>
    </row>
    <row r="10" spans="2:10" ht="30" x14ac:dyDescent="0.3">
      <c r="B10" s="2" t="s">
        <v>11</v>
      </c>
      <c r="C10" s="25" t="s">
        <v>6</v>
      </c>
      <c r="D10" s="25"/>
      <c r="E10" s="25"/>
      <c r="F10" s="3" t="s">
        <v>7</v>
      </c>
      <c r="G10" s="15" t="s">
        <v>8</v>
      </c>
      <c r="H10" s="15" t="s">
        <v>9</v>
      </c>
      <c r="I10" s="2" t="s">
        <v>31</v>
      </c>
      <c r="J10" s="14" t="s">
        <v>10</v>
      </c>
    </row>
    <row r="11" spans="2:10" ht="33.9" customHeight="1" x14ac:dyDescent="0.3">
      <c r="B11" s="4">
        <v>1</v>
      </c>
      <c r="C11" s="26" t="s">
        <v>36</v>
      </c>
      <c r="D11" s="26"/>
      <c r="E11" s="26"/>
      <c r="F11" s="5">
        <v>1</v>
      </c>
      <c r="G11" s="12">
        <v>13</v>
      </c>
      <c r="H11" s="4" t="s">
        <v>25</v>
      </c>
      <c r="I11" s="13">
        <f>32500*20%</f>
        <v>6500</v>
      </c>
      <c r="J11" s="6">
        <f>F11*I11*G11</f>
        <v>84500</v>
      </c>
    </row>
    <row r="12" spans="2:10" ht="33.9" customHeight="1" x14ac:dyDescent="0.3">
      <c r="B12" s="4">
        <v>2</v>
      </c>
      <c r="C12" s="26" t="s">
        <v>37</v>
      </c>
      <c r="D12" s="26"/>
      <c r="E12" s="26"/>
      <c r="F12" s="5">
        <v>1</v>
      </c>
      <c r="G12" s="12">
        <v>5</v>
      </c>
      <c r="H12" s="4" t="s">
        <v>25</v>
      </c>
      <c r="I12" s="13">
        <f>32500*10%</f>
        <v>3250</v>
      </c>
      <c r="J12" s="6">
        <f>G12*I12</f>
        <v>16250</v>
      </c>
    </row>
    <row r="13" spans="2:10" ht="33.9" customHeight="1" x14ac:dyDescent="0.3">
      <c r="B13" s="4">
        <v>3</v>
      </c>
      <c r="C13" s="26" t="s">
        <v>38</v>
      </c>
      <c r="D13" s="26"/>
      <c r="E13" s="26"/>
      <c r="F13" s="5">
        <v>1</v>
      </c>
      <c r="G13" s="12">
        <v>26</v>
      </c>
      <c r="H13" s="4" t="s">
        <v>25</v>
      </c>
      <c r="I13" s="13">
        <f>32500*20%</f>
        <v>6500</v>
      </c>
      <c r="J13" s="6">
        <f>G13*I13</f>
        <v>169000</v>
      </c>
    </row>
    <row r="14" spans="2:10" ht="17.399999999999999" customHeight="1" x14ac:dyDescent="0.35">
      <c r="B14" s="17"/>
      <c r="C14" s="23" t="s">
        <v>18</v>
      </c>
      <c r="D14" s="23"/>
      <c r="E14" s="23"/>
      <c r="F14" s="23"/>
      <c r="G14" s="23"/>
      <c r="H14" s="23"/>
      <c r="I14" s="23"/>
      <c r="J14" s="7">
        <f>SUM(J11:J13)</f>
        <v>269750</v>
      </c>
    </row>
    <row r="15" spans="2:10" ht="17.399999999999999" customHeight="1" x14ac:dyDescent="0.35">
      <c r="B15" s="17"/>
      <c r="C15" s="24" t="s">
        <v>23</v>
      </c>
      <c r="D15" s="24"/>
      <c r="E15" s="24"/>
      <c r="F15" s="24"/>
      <c r="G15" s="24"/>
      <c r="H15" s="24"/>
      <c r="I15" s="24"/>
      <c r="J15" s="7">
        <v>0</v>
      </c>
    </row>
    <row r="16" spans="2:10" ht="17.399999999999999" customHeight="1" x14ac:dyDescent="0.35">
      <c r="B16" s="17"/>
      <c r="C16" s="24"/>
      <c r="D16" s="24"/>
      <c r="E16" s="24"/>
      <c r="F16" s="24"/>
      <c r="G16" s="24"/>
      <c r="H16" s="24"/>
      <c r="I16" s="24"/>
      <c r="J16" s="7"/>
    </row>
    <row r="17" spans="2:12" ht="17.399999999999999" customHeight="1" x14ac:dyDescent="0.35">
      <c r="B17" s="17"/>
      <c r="C17" s="14"/>
      <c r="D17" s="14"/>
      <c r="E17" s="14"/>
      <c r="F17" s="14"/>
      <c r="G17" s="14"/>
      <c r="H17" s="14"/>
      <c r="I17" s="14"/>
      <c r="J17" s="7">
        <f>J14+J15+J16</f>
        <v>269750</v>
      </c>
    </row>
    <row r="18" spans="2:12" ht="15.5" x14ac:dyDescent="0.35">
      <c r="B18" s="8"/>
      <c r="C18" s="20" t="s">
        <v>39</v>
      </c>
      <c r="D18" s="20"/>
      <c r="E18" s="20"/>
      <c r="F18" s="20"/>
      <c r="G18" s="20"/>
      <c r="H18" s="20"/>
      <c r="I18" s="20"/>
      <c r="J18" s="20"/>
    </row>
    <row r="19" spans="2:12" ht="15.5" x14ac:dyDescent="0.35">
      <c r="B19" s="17"/>
      <c r="C19" s="21" t="s">
        <v>12</v>
      </c>
      <c r="D19" s="21"/>
      <c r="E19" s="21"/>
      <c r="F19" s="8"/>
      <c r="G19" s="8"/>
      <c r="H19" s="8"/>
      <c r="I19" s="8"/>
      <c r="J19" s="9">
        <v>0</v>
      </c>
    </row>
    <row r="20" spans="2:12" ht="15.5" x14ac:dyDescent="0.35">
      <c r="B20" s="17"/>
      <c r="C20" s="21" t="s">
        <v>20</v>
      </c>
      <c r="D20" s="21"/>
      <c r="E20" s="21"/>
      <c r="F20" s="8"/>
      <c r="G20" s="8"/>
      <c r="H20" s="8"/>
      <c r="I20" s="8"/>
      <c r="J20" s="9">
        <v>0</v>
      </c>
    </row>
    <row r="21" spans="2:12" ht="15.5" x14ac:dyDescent="0.35">
      <c r="B21" s="17"/>
      <c r="C21" s="21" t="s">
        <v>13</v>
      </c>
      <c r="D21" s="21"/>
      <c r="E21" s="21"/>
      <c r="F21" s="8"/>
      <c r="G21" s="8" t="s">
        <v>19</v>
      </c>
      <c r="H21" s="8"/>
      <c r="I21" s="8"/>
      <c r="J21" s="18">
        <f>J17</f>
        <v>269750</v>
      </c>
    </row>
    <row r="22" spans="2:12" ht="15.5" x14ac:dyDescent="0.35">
      <c r="B22" s="8"/>
      <c r="C22" s="21"/>
      <c r="D22" s="21"/>
      <c r="E22" s="21"/>
      <c r="F22" s="8"/>
      <c r="G22" s="8"/>
      <c r="H22" s="8"/>
      <c r="I22" s="8"/>
      <c r="J22" s="8"/>
      <c r="L22" s="11"/>
    </row>
    <row r="23" spans="2:12" x14ac:dyDescent="0.3">
      <c r="B23" s="22" t="s">
        <v>14</v>
      </c>
      <c r="C23" s="22"/>
      <c r="D23" s="22"/>
      <c r="E23" s="22"/>
      <c r="F23" s="22"/>
      <c r="G23" s="22"/>
      <c r="H23" s="22"/>
      <c r="I23" s="22"/>
      <c r="J23" s="22"/>
    </row>
    <row r="24" spans="2:12" x14ac:dyDescent="0.3">
      <c r="B24" s="22"/>
      <c r="C24" s="22"/>
      <c r="D24" s="22"/>
      <c r="E24" s="22"/>
      <c r="F24" s="22"/>
      <c r="G24" s="22"/>
      <c r="H24" s="22"/>
      <c r="I24" s="22"/>
      <c r="J24" s="22"/>
    </row>
    <row r="25" spans="2:12" x14ac:dyDescent="0.3">
      <c r="B25" s="22"/>
      <c r="C25" s="22"/>
      <c r="D25" s="22"/>
      <c r="E25" s="22"/>
      <c r="F25" s="22"/>
      <c r="G25" s="22"/>
      <c r="H25" s="22"/>
      <c r="I25" s="22"/>
      <c r="J25" s="22"/>
    </row>
    <row r="28" spans="2:12" ht="14.15" customHeight="1" x14ac:dyDescent="0.3">
      <c r="B28" s="19" t="s">
        <v>15</v>
      </c>
      <c r="C28" s="19"/>
      <c r="D28" s="19"/>
      <c r="E28" s="19"/>
      <c r="F28" s="19"/>
      <c r="G28" s="19"/>
      <c r="H28" s="19"/>
      <c r="I28" s="19"/>
      <c r="J28" s="19"/>
    </row>
    <row r="29" spans="2:12" ht="14.15" customHeight="1" x14ac:dyDescent="0.3">
      <c r="B29" s="19"/>
      <c r="C29" s="19"/>
      <c r="D29" s="19"/>
      <c r="E29" s="19"/>
      <c r="F29" s="19"/>
      <c r="G29" s="19"/>
      <c r="H29" s="19"/>
      <c r="I29" s="19"/>
      <c r="J29" s="19"/>
    </row>
    <row r="30" spans="2:12" x14ac:dyDescent="0.3">
      <c r="B30" s="19"/>
      <c r="C30" s="19"/>
      <c r="D30" s="19"/>
      <c r="E30" s="19"/>
      <c r="F30" s="19"/>
      <c r="G30" s="19"/>
      <c r="H30" s="19"/>
      <c r="I30" s="19"/>
      <c r="J30" s="19"/>
    </row>
    <row r="31" spans="2:12" x14ac:dyDescent="0.3">
      <c r="B31" s="19"/>
      <c r="C31" s="19"/>
      <c r="D31" s="19"/>
      <c r="E31" s="19"/>
      <c r="F31" s="19"/>
      <c r="G31" s="19"/>
      <c r="H31" s="19"/>
      <c r="I31" s="19"/>
      <c r="J31" s="19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</sheetData>
  <mergeCells count="29">
    <mergeCell ref="C22:E22"/>
    <mergeCell ref="B23:J25"/>
    <mergeCell ref="B28:J29"/>
    <mergeCell ref="B30:J31"/>
    <mergeCell ref="C15:I15"/>
    <mergeCell ref="C16:I16"/>
    <mergeCell ref="C18:J18"/>
    <mergeCell ref="C19:E19"/>
    <mergeCell ref="C20:E20"/>
    <mergeCell ref="C21:E21"/>
    <mergeCell ref="C14:I14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C12:E12"/>
    <mergeCell ref="C13:E13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42B57-D7D6-4148-81AE-E87F61332A78}">
  <sheetPr>
    <pageSetUpPr fitToPage="1"/>
  </sheetPr>
  <dimension ref="B2:L33"/>
  <sheetViews>
    <sheetView tabSelected="1" topLeftCell="A8" zoomScaleNormal="100" workbookViewId="0">
      <selection activeCell="J13" sqref="J13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7" t="s">
        <v>0</v>
      </c>
      <c r="C2" s="27"/>
      <c r="D2" s="27"/>
      <c r="E2" s="27"/>
      <c r="F2" s="27"/>
      <c r="G2" s="27"/>
      <c r="H2" s="27"/>
      <c r="I2" s="27"/>
      <c r="J2" s="27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28" t="s">
        <v>16</v>
      </c>
      <c r="C4" s="28"/>
      <c r="D4" s="21" t="s">
        <v>28</v>
      </c>
      <c r="E4" s="21"/>
      <c r="F4" s="21"/>
      <c r="G4" s="21"/>
      <c r="H4" s="29" t="s">
        <v>21</v>
      </c>
      <c r="I4" s="29"/>
      <c r="J4" s="8">
        <v>56</v>
      </c>
    </row>
    <row r="5" spans="2:10" ht="18.899999999999999" customHeight="1" x14ac:dyDescent="0.3">
      <c r="B5" s="19" t="s">
        <v>1</v>
      </c>
      <c r="C5" s="19"/>
      <c r="D5" s="22" t="s">
        <v>29</v>
      </c>
      <c r="E5" s="22"/>
      <c r="F5" s="22"/>
      <c r="G5" s="22"/>
      <c r="H5" s="22"/>
      <c r="I5" s="22"/>
      <c r="J5" s="22"/>
    </row>
    <row r="6" spans="2:10" ht="30.9" customHeight="1" x14ac:dyDescent="0.35">
      <c r="B6" s="30" t="s">
        <v>26</v>
      </c>
      <c r="C6" s="30"/>
      <c r="D6" s="30"/>
      <c r="E6" s="30"/>
      <c r="F6" s="30"/>
      <c r="G6" s="30"/>
      <c r="H6" s="10" t="s">
        <v>2</v>
      </c>
      <c r="I6" s="31">
        <v>45318</v>
      </c>
      <c r="J6" s="32"/>
    </row>
    <row r="7" spans="2:10" ht="20.149999999999999" customHeight="1" x14ac:dyDescent="0.3">
      <c r="B7" s="33" t="s">
        <v>3</v>
      </c>
      <c r="C7" s="33"/>
      <c r="D7" s="26" t="s">
        <v>22</v>
      </c>
      <c r="E7" s="26"/>
      <c r="F7" s="26"/>
      <c r="G7" s="26"/>
      <c r="H7" s="3" t="s">
        <v>17</v>
      </c>
      <c r="I7" s="31">
        <v>45316</v>
      </c>
      <c r="J7" s="32"/>
    </row>
    <row r="8" spans="2:10" ht="18.899999999999999" customHeight="1" x14ac:dyDescent="0.3">
      <c r="B8" s="19" t="s">
        <v>5</v>
      </c>
      <c r="C8" s="19"/>
      <c r="D8" s="22" t="s">
        <v>35</v>
      </c>
      <c r="E8" s="22"/>
      <c r="F8" s="22"/>
      <c r="G8" s="22"/>
      <c r="H8" s="22"/>
      <c r="I8" s="22"/>
      <c r="J8" s="22"/>
    </row>
    <row r="9" spans="2:10" ht="20.399999999999999" customHeight="1" x14ac:dyDescent="0.3">
      <c r="B9" s="19" t="s">
        <v>4</v>
      </c>
      <c r="C9" s="19"/>
      <c r="D9" s="19"/>
      <c r="E9" s="19"/>
      <c r="F9" s="19"/>
      <c r="G9" s="19"/>
      <c r="H9" s="19"/>
      <c r="I9" s="19"/>
      <c r="J9" s="19"/>
    </row>
    <row r="10" spans="2:10" ht="30" x14ac:dyDescent="0.3">
      <c r="B10" s="2" t="s">
        <v>11</v>
      </c>
      <c r="C10" s="25" t="s">
        <v>6</v>
      </c>
      <c r="D10" s="25"/>
      <c r="E10" s="25"/>
      <c r="F10" s="3" t="s">
        <v>7</v>
      </c>
      <c r="G10" s="15" t="s">
        <v>8</v>
      </c>
      <c r="H10" s="15" t="s">
        <v>9</v>
      </c>
      <c r="I10" s="2" t="s">
        <v>31</v>
      </c>
      <c r="J10" s="14" t="s">
        <v>10</v>
      </c>
    </row>
    <row r="11" spans="2:10" ht="33.9" customHeight="1" x14ac:dyDescent="0.3">
      <c r="B11" s="4">
        <v>1</v>
      </c>
      <c r="C11" s="26" t="s">
        <v>36</v>
      </c>
      <c r="D11" s="26"/>
      <c r="E11" s="26"/>
      <c r="F11" s="5">
        <v>1</v>
      </c>
      <c r="G11" s="12">
        <v>13</v>
      </c>
      <c r="H11" s="4" t="s">
        <v>25</v>
      </c>
      <c r="I11" s="13">
        <f>32500*20%</f>
        <v>6500</v>
      </c>
      <c r="J11" s="6">
        <f>F11*I11*G11</f>
        <v>84500</v>
      </c>
    </row>
    <row r="12" spans="2:10" ht="33.9" customHeight="1" x14ac:dyDescent="0.3">
      <c r="B12" s="4">
        <v>2</v>
      </c>
      <c r="C12" s="26" t="s">
        <v>37</v>
      </c>
      <c r="D12" s="26"/>
      <c r="E12" s="26"/>
      <c r="F12" s="5">
        <v>1</v>
      </c>
      <c r="G12" s="12">
        <v>21</v>
      </c>
      <c r="H12" s="4" t="s">
        <v>25</v>
      </c>
      <c r="I12" s="13">
        <f>32500*10%</f>
        <v>3250</v>
      </c>
      <c r="J12" s="6">
        <f>G12*I12</f>
        <v>68250</v>
      </c>
    </row>
    <row r="13" spans="2:10" ht="33.9" customHeight="1" x14ac:dyDescent="0.3">
      <c r="B13" s="4">
        <v>3</v>
      </c>
      <c r="C13" s="26" t="s">
        <v>40</v>
      </c>
      <c r="D13" s="26"/>
      <c r="E13" s="26"/>
      <c r="F13" s="5">
        <v>1</v>
      </c>
      <c r="G13" s="12">
        <v>13</v>
      </c>
      <c r="H13" s="4" t="s">
        <v>25</v>
      </c>
      <c r="I13" s="13">
        <f>32500*25%</f>
        <v>8125</v>
      </c>
      <c r="J13" s="6">
        <f>G13*I13</f>
        <v>105625</v>
      </c>
    </row>
    <row r="14" spans="2:10" ht="17.399999999999999" customHeight="1" x14ac:dyDescent="0.35">
      <c r="B14" s="17"/>
      <c r="C14" s="23" t="s">
        <v>18</v>
      </c>
      <c r="D14" s="23"/>
      <c r="E14" s="23"/>
      <c r="F14" s="23"/>
      <c r="G14" s="23"/>
      <c r="H14" s="23"/>
      <c r="I14" s="23"/>
      <c r="J14" s="7">
        <f>SUM(J11:J13)</f>
        <v>258375</v>
      </c>
    </row>
    <row r="15" spans="2:10" ht="17.399999999999999" customHeight="1" x14ac:dyDescent="0.35">
      <c r="B15" s="17"/>
      <c r="C15" s="24" t="s">
        <v>23</v>
      </c>
      <c r="D15" s="24"/>
      <c r="E15" s="24"/>
      <c r="F15" s="24"/>
      <c r="G15" s="24"/>
      <c r="H15" s="24"/>
      <c r="I15" s="24"/>
      <c r="J15" s="7">
        <v>0</v>
      </c>
    </row>
    <row r="16" spans="2:10" ht="17.399999999999999" customHeight="1" x14ac:dyDescent="0.35">
      <c r="B16" s="17"/>
      <c r="C16" s="24"/>
      <c r="D16" s="24"/>
      <c r="E16" s="24"/>
      <c r="F16" s="24"/>
      <c r="G16" s="24"/>
      <c r="H16" s="24"/>
      <c r="I16" s="24"/>
      <c r="J16" s="7"/>
    </row>
    <row r="17" spans="2:12" ht="17.399999999999999" customHeight="1" x14ac:dyDescent="0.35">
      <c r="B17" s="17"/>
      <c r="C17" s="14"/>
      <c r="D17" s="14"/>
      <c r="E17" s="14"/>
      <c r="F17" s="14"/>
      <c r="G17" s="14"/>
      <c r="H17" s="14"/>
      <c r="I17" s="14"/>
      <c r="J17" s="7">
        <f>J14+J15+J16</f>
        <v>258375</v>
      </c>
    </row>
    <row r="18" spans="2:12" ht="15.5" x14ac:dyDescent="0.35">
      <c r="B18" s="8"/>
      <c r="C18" s="20" t="s">
        <v>41</v>
      </c>
      <c r="D18" s="20"/>
      <c r="E18" s="20"/>
      <c r="F18" s="20"/>
      <c r="G18" s="20"/>
      <c r="H18" s="20"/>
      <c r="I18" s="20"/>
      <c r="J18" s="20"/>
    </row>
    <row r="19" spans="2:12" ht="15.5" x14ac:dyDescent="0.35">
      <c r="B19" s="17"/>
      <c r="C19" s="21" t="s">
        <v>12</v>
      </c>
      <c r="D19" s="21"/>
      <c r="E19" s="21"/>
      <c r="F19" s="8"/>
      <c r="G19" s="8"/>
      <c r="H19" s="8"/>
      <c r="I19" s="8"/>
      <c r="J19" s="9">
        <v>0</v>
      </c>
    </row>
    <row r="20" spans="2:12" ht="15.5" x14ac:dyDescent="0.35">
      <c r="B20" s="17"/>
      <c r="C20" s="21" t="s">
        <v>20</v>
      </c>
      <c r="D20" s="21"/>
      <c r="E20" s="21"/>
      <c r="F20" s="8"/>
      <c r="G20" s="8"/>
      <c r="H20" s="8"/>
      <c r="I20" s="8"/>
      <c r="J20" s="9">
        <v>0</v>
      </c>
    </row>
    <row r="21" spans="2:12" ht="15.5" x14ac:dyDescent="0.35">
      <c r="B21" s="17"/>
      <c r="C21" s="21" t="s">
        <v>13</v>
      </c>
      <c r="D21" s="21"/>
      <c r="E21" s="21"/>
      <c r="F21" s="8"/>
      <c r="G21" s="8" t="s">
        <v>19</v>
      </c>
      <c r="H21" s="8"/>
      <c r="I21" s="8"/>
      <c r="J21" s="18">
        <f>J17</f>
        <v>258375</v>
      </c>
    </row>
    <row r="22" spans="2:12" ht="15.5" x14ac:dyDescent="0.35">
      <c r="B22" s="8"/>
      <c r="C22" s="21"/>
      <c r="D22" s="21"/>
      <c r="E22" s="21"/>
      <c r="F22" s="8"/>
      <c r="G22" s="8"/>
      <c r="H22" s="8"/>
      <c r="I22" s="8"/>
      <c r="J22" s="8"/>
      <c r="L22" s="11"/>
    </row>
    <row r="23" spans="2:12" x14ac:dyDescent="0.3">
      <c r="B23" s="22" t="s">
        <v>14</v>
      </c>
      <c r="C23" s="22"/>
      <c r="D23" s="22"/>
      <c r="E23" s="22"/>
      <c r="F23" s="22"/>
      <c r="G23" s="22"/>
      <c r="H23" s="22"/>
      <c r="I23" s="22"/>
      <c r="J23" s="22"/>
    </row>
    <row r="24" spans="2:12" x14ac:dyDescent="0.3">
      <c r="B24" s="22"/>
      <c r="C24" s="22"/>
      <c r="D24" s="22"/>
      <c r="E24" s="22"/>
      <c r="F24" s="22"/>
      <c r="G24" s="22"/>
      <c r="H24" s="22"/>
      <c r="I24" s="22"/>
      <c r="J24" s="22"/>
    </row>
    <row r="25" spans="2:12" x14ac:dyDescent="0.3">
      <c r="B25" s="22"/>
      <c r="C25" s="22"/>
      <c r="D25" s="22"/>
      <c r="E25" s="22"/>
      <c r="F25" s="22"/>
      <c r="G25" s="22"/>
      <c r="H25" s="22"/>
      <c r="I25" s="22"/>
      <c r="J25" s="22"/>
    </row>
    <row r="28" spans="2:12" ht="14.15" customHeight="1" x14ac:dyDescent="0.3">
      <c r="B28" s="19" t="s">
        <v>15</v>
      </c>
      <c r="C28" s="19"/>
      <c r="D28" s="19"/>
      <c r="E28" s="19"/>
      <c r="F28" s="19"/>
      <c r="G28" s="19"/>
      <c r="H28" s="19"/>
      <c r="I28" s="19"/>
      <c r="J28" s="19"/>
    </row>
    <row r="29" spans="2:12" ht="14.15" customHeight="1" x14ac:dyDescent="0.3">
      <c r="B29" s="19"/>
      <c r="C29" s="19"/>
      <c r="D29" s="19"/>
      <c r="E29" s="19"/>
      <c r="F29" s="19"/>
      <c r="G29" s="19"/>
      <c r="H29" s="19"/>
      <c r="I29" s="19"/>
      <c r="J29" s="19"/>
    </row>
    <row r="30" spans="2:12" x14ac:dyDescent="0.3">
      <c r="B30" s="19"/>
      <c r="C30" s="19"/>
      <c r="D30" s="19"/>
      <c r="E30" s="19"/>
      <c r="F30" s="19"/>
      <c r="G30" s="19"/>
      <c r="H30" s="19"/>
      <c r="I30" s="19"/>
      <c r="J30" s="19"/>
    </row>
    <row r="31" spans="2:12" x14ac:dyDescent="0.3">
      <c r="B31" s="19"/>
      <c r="C31" s="19"/>
      <c r="D31" s="19"/>
      <c r="E31" s="19"/>
      <c r="F31" s="19"/>
      <c r="G31" s="19"/>
      <c r="H31" s="19"/>
      <c r="I31" s="19"/>
      <c r="J31" s="19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</sheetData>
  <mergeCells count="29">
    <mergeCell ref="C22:E22"/>
    <mergeCell ref="B23:J25"/>
    <mergeCell ref="B28:J29"/>
    <mergeCell ref="B30:J31"/>
    <mergeCell ref="C15:I15"/>
    <mergeCell ref="C16:I16"/>
    <mergeCell ref="C18:J18"/>
    <mergeCell ref="C19:E19"/>
    <mergeCell ref="C20:E20"/>
    <mergeCell ref="C21:E21"/>
    <mergeCell ref="C14:I14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C12:E12"/>
    <mergeCell ref="C13:E13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2024-01-27T10:59:03Z</cp:lastPrinted>
  <dcterms:created xsi:type="dcterms:W3CDTF">2017-06-28T08:31:23Z</dcterms:created>
  <dcterms:modified xsi:type="dcterms:W3CDTF">2024-08-17T12:25:23Z</dcterms:modified>
</cp:coreProperties>
</file>