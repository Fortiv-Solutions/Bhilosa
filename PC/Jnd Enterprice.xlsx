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tudio 13\Project management\Pramukh Revanta\Payment certificate\"/>
    </mc:Choice>
  </mc:AlternateContent>
  <xr:revisionPtr revIDLastSave="0" documentId="13_ncr:1_{92A31A8B-5326-405A-9CFC-E5DBC9FDEC60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1" sheetId="21" r:id="rId1"/>
    <sheet name="2" sheetId="22" r:id="rId2"/>
    <sheet name="3" sheetId="2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0" i="21" l="1"/>
  <c r="J52" i="23"/>
  <c r="J12" i="23"/>
  <c r="J13" i="23"/>
  <c r="J14" i="23"/>
  <c r="J15" i="23"/>
  <c r="J16" i="23"/>
  <c r="J17" i="23"/>
  <c r="J18" i="23"/>
  <c r="J19" i="23"/>
  <c r="J20" i="23"/>
  <c r="J21" i="23"/>
  <c r="J22" i="23"/>
  <c r="J23" i="23"/>
  <c r="J24" i="23"/>
  <c r="J25" i="23"/>
  <c r="J26" i="23"/>
  <c r="J27" i="23"/>
  <c r="J28" i="23"/>
  <c r="J29" i="23"/>
  <c r="J30" i="23"/>
  <c r="J31" i="23"/>
  <c r="J32" i="23"/>
  <c r="J33" i="23"/>
  <c r="J34" i="23"/>
  <c r="J35" i="23"/>
  <c r="J36" i="23"/>
  <c r="J37" i="23"/>
  <c r="J38" i="23"/>
  <c r="J39" i="23"/>
  <c r="J40" i="23"/>
  <c r="J41" i="23"/>
  <c r="J42" i="23"/>
  <c r="J43" i="23"/>
  <c r="J44" i="23"/>
  <c r="J45" i="23"/>
  <c r="J46" i="23"/>
  <c r="J47" i="23"/>
  <c r="J48" i="23"/>
  <c r="J49" i="23"/>
  <c r="J50" i="23"/>
  <c r="J51" i="23"/>
  <c r="J11" i="23"/>
  <c r="L24" i="23"/>
  <c r="M24" i="23" s="1"/>
  <c r="L23" i="23"/>
  <c r="M23" i="23" s="1"/>
  <c r="L12" i="23"/>
  <c r="M12" i="23" s="1"/>
  <c r="L11" i="23"/>
  <c r="M11" i="23" s="1"/>
  <c r="L29" i="23"/>
  <c r="M29" i="23" s="1"/>
  <c r="L28" i="23"/>
  <c r="M28" i="23" s="1"/>
  <c r="L41" i="23"/>
  <c r="M41" i="23" s="1"/>
  <c r="L40" i="23"/>
  <c r="M40" i="23" s="1"/>
  <c r="N12" i="21"/>
  <c r="N11" i="21"/>
  <c r="L11" i="21"/>
  <c r="M12" i="21"/>
  <c r="L12" i="21"/>
  <c r="M11" i="22"/>
  <c r="M12" i="22"/>
  <c r="L12" i="22"/>
  <c r="L11" i="22"/>
  <c r="I22" i="22" l="1"/>
  <c r="I21" i="22"/>
  <c r="I20" i="22"/>
  <c r="I19" i="22"/>
  <c r="J19" i="22" s="1"/>
  <c r="I16" i="22"/>
  <c r="I15" i="22"/>
  <c r="I14" i="22"/>
  <c r="J14" i="22" s="1"/>
  <c r="I13" i="22"/>
  <c r="J20" i="22"/>
  <c r="J13" i="22"/>
  <c r="I18" i="22"/>
  <c r="J18" i="22" s="1"/>
  <c r="I17" i="22"/>
  <c r="J17" i="22" s="1"/>
  <c r="J16" i="22"/>
  <c r="J15" i="22"/>
  <c r="I12" i="22"/>
  <c r="I11" i="22"/>
  <c r="J54" i="23" l="1"/>
  <c r="J53" i="23"/>
  <c r="J22" i="22"/>
  <c r="J21" i="22"/>
  <c r="J12" i="22"/>
  <c r="J11" i="22"/>
  <c r="J21" i="21"/>
  <c r="J20" i="21"/>
  <c r="J19" i="21"/>
  <c r="I18" i="21"/>
  <c r="I17" i="21"/>
  <c r="I16" i="21"/>
  <c r="I15" i="21"/>
  <c r="I14" i="21"/>
  <c r="I13" i="21"/>
  <c r="I12" i="21"/>
  <c r="I11" i="21"/>
  <c r="J56" i="23" l="1"/>
  <c r="J60" i="23" s="1"/>
  <c r="J23" i="22"/>
  <c r="J25" i="22" s="1"/>
  <c r="J15" i="21"/>
  <c r="J14" i="21"/>
  <c r="J13" i="21"/>
  <c r="J16" i="21"/>
  <c r="J12" i="21"/>
  <c r="J17" i="21"/>
  <c r="J11" i="21"/>
  <c r="J24" i="22" l="1"/>
  <c r="J27" i="22"/>
  <c r="J31" i="22" s="1"/>
  <c r="J18" i="21"/>
  <c r="J23" i="21" l="1"/>
  <c r="J27" i="21" s="1"/>
</calcChain>
</file>

<file path=xl/sharedStrings.xml><?xml version="1.0" encoding="utf-8"?>
<sst xmlns="http://schemas.openxmlformats.org/spreadsheetml/2006/main" count="295" uniqueCount="112">
  <si>
    <t>Payment Certificate</t>
  </si>
  <si>
    <t xml:space="preserve">Vendor Name </t>
  </si>
  <si>
    <t xml:space="preserve">Date - </t>
  </si>
  <si>
    <t xml:space="preserve">Type of Work - </t>
  </si>
  <si>
    <t>Payment Details</t>
  </si>
  <si>
    <t>Type of Contract -</t>
  </si>
  <si>
    <t xml:space="preserve">Items </t>
  </si>
  <si>
    <t>% of Work Completed</t>
  </si>
  <si>
    <t>Qty</t>
  </si>
  <si>
    <t>Unit</t>
  </si>
  <si>
    <t>Amount</t>
  </si>
  <si>
    <t>Sr.
No.</t>
  </si>
  <si>
    <t xml:space="preserve">Advance Payment </t>
  </si>
  <si>
    <t>Balance Payment to be paid</t>
  </si>
  <si>
    <t>TDS will be deducted as per applicable rules at your end</t>
  </si>
  <si>
    <t xml:space="preserve">Approved By - </t>
  </si>
  <si>
    <t xml:space="preserve">Company Name </t>
  </si>
  <si>
    <t>Bill Date</t>
  </si>
  <si>
    <t xml:space="preserve">Total Bill Amount </t>
  </si>
  <si>
    <t xml:space="preserve"> </t>
  </si>
  <si>
    <t>Retention @ 5% to be deducted</t>
  </si>
  <si>
    <t>Rate/
Flat</t>
  </si>
  <si>
    <t>Invoice No.</t>
  </si>
  <si>
    <t>To, 
Tanvi Infracon - Aranya 2 Project</t>
  </si>
  <si>
    <t>JND Enterprise</t>
  </si>
  <si>
    <t>Gopalbhai Ram</t>
  </si>
  <si>
    <t>Electrical Work</t>
  </si>
  <si>
    <t>With Material Electrical Work</t>
  </si>
  <si>
    <t>Flats</t>
  </si>
  <si>
    <t>CGST @ 9%</t>
  </si>
  <si>
    <t>SGST @ 9%</t>
  </si>
  <si>
    <t>3 BHK. Building Slab Conduting Work A,B,D &amp; E (15% of Entire Work)</t>
  </si>
  <si>
    <t>3 BHK. Building Slab Conduting Work C (15% of Entire Work)</t>
  </si>
  <si>
    <t>3 BHK. Building Wall Conduting Work A,B,D &amp; E (15% of Entire Work)</t>
  </si>
  <si>
    <t>3 BHK. Building Wall Conduting Work C (15% of Entire Work)</t>
  </si>
  <si>
    <t>3 BHK. Building Slab Conduting Work A,B,D &amp; E (15% of Entire Work) (7% Discount of Naked Flat)</t>
  </si>
  <si>
    <t>3 BHK. Building Slab Conduting Work C (15% of Entire Work) (7% Discount of Naked Flat)</t>
  </si>
  <si>
    <t>3 BHK. Building Wall Conduting Work A,B,D &amp; E (15% of Entire Work) (7% Discount of Naked Flat)</t>
  </si>
  <si>
    <t>3 BHK. Building Wall Conduting Work C (15% of Entire Work) (7% Discount of Naked Flat)</t>
  </si>
  <si>
    <t>Fifty Lakh Fourty Two Thousand Five Hundred Thirty One Only</t>
  </si>
  <si>
    <t>One Crore Seventeen Lakh Sixty Five Thousand Nine Hundred Six Only</t>
  </si>
  <si>
    <t>3 BHK. Building Switch board fitting Work A,B,D &amp; E (15% of Entire Work)</t>
  </si>
  <si>
    <t>3 BHK. Building  Switch board fitting Work C (15% of Entire Work)</t>
  </si>
  <si>
    <t>3 BHK. Building Switch board fitting Work A,B,D &amp; E (15% of Entire Work) (7% Discount of Naked Flat)</t>
  </si>
  <si>
    <t>3 BHK. Building Switch board fitting Work C (15% of Entire Work) (7% Discount of Naked Flat)</t>
  </si>
  <si>
    <t>3 BHK. Building Internal Wiring Work A,B,D &amp; E (40% of Entire Work)</t>
  </si>
  <si>
    <t>3 BHK. Building Internal Wiring Work C (40% of Entire Work)</t>
  </si>
  <si>
    <t>3 BHK. Building Internal Wiring Work A,B,D &amp; E (40% of Entire Work) (7% Discount of Naked Flat)</t>
  </si>
  <si>
    <t>3 BHK. Building Internal Wiring Work C (40% of Entire Work) (7% Discount of Naked Flat)</t>
  </si>
  <si>
    <t>3 BHK. Building Handover Work A,B,D &amp; E (15% of Entire Work)</t>
  </si>
  <si>
    <t>3 BHK. Building  Handover Work C (15% of Entire Work)</t>
  </si>
  <si>
    <t>3 BHK. Building Handover Work A,B,D &amp; E (15% of Entire Work) (7% Discount of Naked Flat)</t>
  </si>
  <si>
    <t>3 BHK. Building Handover Work C (15% of Entire Work) (7% Discount of Naked Flat)</t>
  </si>
  <si>
    <t>Light Point</t>
  </si>
  <si>
    <t>Out Door Light Point</t>
  </si>
  <si>
    <t>Fen Point</t>
  </si>
  <si>
    <t>Telephon Point</t>
  </si>
  <si>
    <t>6 Amp Plug Point</t>
  </si>
  <si>
    <t>16 Amp Plug Point</t>
  </si>
  <si>
    <t>AC Point</t>
  </si>
  <si>
    <t>1.5 sqmm Main Line</t>
  </si>
  <si>
    <t>2.5 sqmm Main Line</t>
  </si>
  <si>
    <t>6 sqmm Main Line</t>
  </si>
  <si>
    <t>1.5 sqmm X 3 core Copper Flexible Cable</t>
  </si>
  <si>
    <t>2.5 sqmm X 3 core Copper Flexible Cable</t>
  </si>
  <si>
    <t>4 sqmm X 3 core Copper Flexible Cable</t>
  </si>
  <si>
    <t>Cat-6</t>
  </si>
  <si>
    <t>Telephon Wire Two Pair</t>
  </si>
  <si>
    <t>Telephon Cable 10 to 20 Pair</t>
  </si>
  <si>
    <t>300sqmm X 3.5 Core Alu Armoud Cable</t>
  </si>
  <si>
    <t>150&amp;95 sqmm X 3.5 Alu Armoud Cable</t>
  </si>
  <si>
    <t>10 to 20 Amp DP MCB</t>
  </si>
  <si>
    <t>40 to 63 Amp FP MCB</t>
  </si>
  <si>
    <t>100 AMP MCCB With Enclosure</t>
  </si>
  <si>
    <t>250 AMP MCCB With Enclosure</t>
  </si>
  <si>
    <t>400 AMP MCCB With Enclosure &amp; ELR Switch</t>
  </si>
  <si>
    <t>630 AMP MCCB With Enclosure</t>
  </si>
  <si>
    <t>18 Way DB</t>
  </si>
  <si>
    <t>12 Way DB</t>
  </si>
  <si>
    <t>4 Way DB</t>
  </si>
  <si>
    <t>Timer And Connector</t>
  </si>
  <si>
    <t xml:space="preserve">400 AMP Auto Chengower </t>
  </si>
  <si>
    <t xml:space="preserve">1100 AMP Bus Bar </t>
  </si>
  <si>
    <t>Lift Electric Work</t>
  </si>
  <si>
    <t>Light Fixture Fiting</t>
  </si>
  <si>
    <t>Fen Fiting With Hook &amp; Pipe</t>
  </si>
  <si>
    <t>Neon And Profile Light Fiting</t>
  </si>
  <si>
    <t>25sqmm Erathing Cable</t>
  </si>
  <si>
    <t xml:space="preserve">25X3 GI Erathing Strip </t>
  </si>
  <si>
    <t>Lightning Arrester</t>
  </si>
  <si>
    <t>380 X 280 X 130 JB</t>
  </si>
  <si>
    <t>380 X 190 X 130 JB</t>
  </si>
  <si>
    <t>180 X 180 X 100 JB</t>
  </si>
  <si>
    <t>100 X 100 X 75 JB</t>
  </si>
  <si>
    <t>nos</t>
  </si>
  <si>
    <t>mtr</t>
  </si>
  <si>
    <t>Qty.</t>
  </si>
  <si>
    <t>Rate</t>
  </si>
  <si>
    <t>Thirty Three Lakh Fifty Five Thousand Three Hundred Twenty Nine Only</t>
  </si>
  <si>
    <t>Fan Point</t>
  </si>
  <si>
    <t>Telephone Point</t>
  </si>
  <si>
    <t>Telephone Wire Two Pair</t>
  </si>
  <si>
    <t>Telephone Cable 10 to 20 Pair</t>
  </si>
  <si>
    <t>150 &amp;95 sqmm X 3.5 Alu. Armoud Cable</t>
  </si>
  <si>
    <t>300 sqmm X 3.5 Core Alu. Armoud Cable</t>
  </si>
  <si>
    <t xml:space="preserve">400 AMP Auto Changeover </t>
  </si>
  <si>
    <t>Light Fixture Fitting</t>
  </si>
  <si>
    <t>Fan Fitting With Hook &amp; Pipe</t>
  </si>
  <si>
    <t>Neon And Profile Light Fitting</t>
  </si>
  <si>
    <t>25sqmm Earthing Cable</t>
  </si>
  <si>
    <t xml:space="preserve">25X3 GI Earthing Strip </t>
  </si>
  <si>
    <t>Lighting Arrester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</si>
</sst>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indexed="8"/>
      <name val="Times New Roman"/>
      <family val="1"/>
    </font>
    <font>
      <sz val="10"/>
      <color indexed="8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9">
    <xf numFmtId="0" fontId="0" fillId="0" borderId="0" xfId="0"/>
    <xf numFmtId="0" fontId="2" fillId="0" borderId="0" xfId="0" applyFont="1"/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/>
    </xf>
    <xf numFmtId="9" fontId="4" fillId="0" borderId="0" xfId="0" applyNumberFormat="1" applyFont="1" applyAlignment="1">
      <alignment horizontal="center" vertical="center"/>
    </xf>
    <xf numFmtId="164" fontId="5" fillId="0" borderId="0" xfId="0" applyNumberFormat="1" applyFont="1" applyAlignment="1">
      <alignment vertical="center"/>
    </xf>
    <xf numFmtId="0" fontId="4" fillId="0" borderId="0" xfId="0" applyFont="1"/>
    <xf numFmtId="164" fontId="5" fillId="0" borderId="0" xfId="1" applyFont="1"/>
    <xf numFmtId="0" fontId="5" fillId="0" borderId="0" xfId="0" applyFont="1" applyAlignment="1">
      <alignment vertical="center"/>
    </xf>
    <xf numFmtId="164" fontId="2" fillId="0" borderId="0" xfId="0" applyNumberFormat="1" applyFont="1"/>
    <xf numFmtId="0" fontId="3" fillId="0" borderId="0" xfId="0" applyFont="1" applyAlignment="1">
      <alignment horizontal="center"/>
    </xf>
    <xf numFmtId="0" fontId="5" fillId="0" borderId="0" xfId="0" applyFont="1" applyAlignment="1">
      <alignment horizontal="right" vertic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5" fontId="4" fillId="0" borderId="0" xfId="1" applyNumberFormat="1" applyFont="1" applyAlignment="1">
      <alignment horizontal="center" vertical="center"/>
    </xf>
    <xf numFmtId="165" fontId="5" fillId="0" borderId="0" xfId="0" applyNumberFormat="1" applyFont="1"/>
    <xf numFmtId="165" fontId="5" fillId="0" borderId="0" xfId="0" applyNumberFormat="1" applyFont="1" applyAlignment="1">
      <alignment vertical="center"/>
    </xf>
    <xf numFmtId="165" fontId="4" fillId="0" borderId="0" xfId="0" applyNumberFormat="1" applyFont="1" applyAlignment="1">
      <alignment horizontal="right" vertical="center"/>
    </xf>
    <xf numFmtId="165" fontId="2" fillId="0" borderId="0" xfId="0" applyNumberFormat="1" applyFont="1"/>
    <xf numFmtId="0" fontId="2" fillId="0" borderId="0" xfId="0" applyFont="1" applyAlignment="1">
      <alignment horizontal="center"/>
    </xf>
    <xf numFmtId="165" fontId="3" fillId="0" borderId="0" xfId="1" applyNumberFormat="1" applyFont="1" applyAlignment="1">
      <alignment horizontal="center"/>
    </xf>
    <xf numFmtId="165" fontId="5" fillId="0" borderId="0" xfId="1" applyNumberFormat="1" applyFont="1" applyAlignment="1">
      <alignment horizontal="center" vertical="center" wrapText="1"/>
    </xf>
    <xf numFmtId="165" fontId="5" fillId="0" borderId="0" xfId="1" applyNumberFormat="1" applyFont="1" applyAlignment="1">
      <alignment horizontal="right" vertical="center"/>
    </xf>
    <xf numFmtId="165" fontId="4" fillId="0" borderId="0" xfId="1" applyNumberFormat="1" applyFont="1"/>
    <xf numFmtId="165" fontId="2" fillId="0" borderId="0" xfId="1" applyNumberFormat="1" applyFont="1"/>
    <xf numFmtId="49" fontId="6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165" fontId="6" fillId="0" borderId="0" xfId="1" applyNumberFormat="1" applyFont="1" applyBorder="1" applyAlignment="1">
      <alignment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165" fontId="7" fillId="0" borderId="0" xfId="1" applyNumberFormat="1" applyFont="1" applyBorder="1"/>
    <xf numFmtId="0" fontId="5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wrapText="1"/>
    </xf>
    <xf numFmtId="15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49" fontId="6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N39"/>
  <sheetViews>
    <sheetView topLeftCell="A12" zoomScaleNormal="100" workbookViewId="0">
      <selection activeCell="L21" sqref="L21"/>
    </sheetView>
  </sheetViews>
  <sheetFormatPr defaultColWidth="8.6328125" defaultRowHeight="14" x14ac:dyDescent="0.3"/>
  <cols>
    <col min="1" max="1" width="8.6328125" style="1"/>
    <col min="2" max="2" width="5.36328125" style="1" customWidth="1"/>
    <col min="3" max="3" width="12.453125" style="1" customWidth="1"/>
    <col min="4" max="4" width="9.90625" style="1" customWidth="1"/>
    <col min="5" max="5" width="32.90625" style="1" customWidth="1"/>
    <col min="6" max="6" width="11.453125" style="1" customWidth="1"/>
    <col min="7" max="7" width="11" style="1" bestFit="1" customWidth="1"/>
    <col min="8" max="8" width="10.453125" style="1" customWidth="1"/>
    <col min="9" max="9" width="8.54296875" style="1" customWidth="1"/>
    <col min="10" max="10" width="14.08984375" style="1" customWidth="1"/>
    <col min="11" max="11" width="8.6328125" style="1"/>
    <col min="12" max="12" width="11.453125" style="1" bestFit="1" customWidth="1"/>
    <col min="13" max="16384" width="8.6328125" style="1"/>
  </cols>
  <sheetData>
    <row r="2" spans="2:14" ht="17.5" x14ac:dyDescent="0.35">
      <c r="B2" s="35" t="s">
        <v>0</v>
      </c>
      <c r="C2" s="35"/>
      <c r="D2" s="35"/>
      <c r="E2" s="35"/>
      <c r="F2" s="35"/>
      <c r="G2" s="35"/>
      <c r="H2" s="35"/>
      <c r="I2" s="35"/>
      <c r="J2" s="35"/>
    </row>
    <row r="3" spans="2:14" ht="39" customHeight="1" x14ac:dyDescent="0.35">
      <c r="B3" s="11"/>
      <c r="C3" s="11"/>
      <c r="D3" s="11"/>
      <c r="E3" s="11"/>
      <c r="F3" s="11"/>
      <c r="G3" s="11"/>
      <c r="H3" s="11"/>
      <c r="I3" s="11"/>
      <c r="J3" s="11"/>
    </row>
    <row r="4" spans="2:14" ht="15.65" customHeight="1" x14ac:dyDescent="0.35">
      <c r="B4" s="36" t="s">
        <v>16</v>
      </c>
      <c r="C4" s="36"/>
      <c r="D4" s="37" t="s">
        <v>24</v>
      </c>
      <c r="E4" s="37"/>
      <c r="F4" s="37"/>
      <c r="G4" s="37"/>
      <c r="H4" s="38" t="s">
        <v>22</v>
      </c>
      <c r="I4" s="38"/>
      <c r="J4" s="7"/>
    </row>
    <row r="5" spans="2:14" ht="18.899999999999999" customHeight="1" x14ac:dyDescent="0.3">
      <c r="B5" s="33" t="s">
        <v>1</v>
      </c>
      <c r="C5" s="33"/>
      <c r="D5" s="34" t="s">
        <v>25</v>
      </c>
      <c r="E5" s="34"/>
      <c r="F5" s="34"/>
      <c r="G5" s="34"/>
      <c r="H5" s="34"/>
      <c r="I5" s="34"/>
      <c r="J5" s="34"/>
    </row>
    <row r="6" spans="2:14" ht="30.9" customHeight="1" x14ac:dyDescent="0.35">
      <c r="B6" s="39" t="s">
        <v>23</v>
      </c>
      <c r="C6" s="39"/>
      <c r="D6" s="39"/>
      <c r="E6" s="39"/>
      <c r="F6" s="39"/>
      <c r="G6" s="39"/>
      <c r="H6" s="9" t="s">
        <v>2</v>
      </c>
      <c r="I6" s="40">
        <v>45568</v>
      </c>
      <c r="J6" s="41"/>
    </row>
    <row r="7" spans="2:14" ht="20.149999999999999" customHeight="1" x14ac:dyDescent="0.3">
      <c r="B7" s="42" t="s">
        <v>3</v>
      </c>
      <c r="C7" s="42"/>
      <c r="D7" s="43" t="s">
        <v>26</v>
      </c>
      <c r="E7" s="43"/>
      <c r="F7" s="43"/>
      <c r="G7" s="43"/>
      <c r="H7" s="3" t="s">
        <v>17</v>
      </c>
      <c r="I7" s="40">
        <v>45568</v>
      </c>
      <c r="J7" s="41"/>
    </row>
    <row r="8" spans="2:14" ht="18.899999999999999" customHeight="1" x14ac:dyDescent="0.3">
      <c r="B8" s="33" t="s">
        <v>5</v>
      </c>
      <c r="C8" s="33"/>
      <c r="D8" s="34" t="s">
        <v>27</v>
      </c>
      <c r="E8" s="34"/>
      <c r="F8" s="34"/>
      <c r="G8" s="34"/>
      <c r="H8" s="34"/>
      <c r="I8" s="34"/>
      <c r="J8" s="34"/>
    </row>
    <row r="9" spans="2:14" ht="20.399999999999999" customHeight="1" x14ac:dyDescent="0.3">
      <c r="B9" s="33" t="s">
        <v>4</v>
      </c>
      <c r="C9" s="33"/>
      <c r="D9" s="33"/>
      <c r="E9" s="33"/>
      <c r="F9" s="33"/>
      <c r="G9" s="33"/>
      <c r="H9" s="33"/>
      <c r="I9" s="33"/>
      <c r="J9" s="33"/>
    </row>
    <row r="10" spans="2:14" ht="30" x14ac:dyDescent="0.3">
      <c r="B10" s="2" t="s">
        <v>11</v>
      </c>
      <c r="C10" s="45" t="s">
        <v>6</v>
      </c>
      <c r="D10" s="45"/>
      <c r="E10" s="45"/>
      <c r="F10" s="3" t="s">
        <v>7</v>
      </c>
      <c r="G10" s="14" t="s">
        <v>8</v>
      </c>
      <c r="H10" s="14" t="s">
        <v>9</v>
      </c>
      <c r="I10" s="2" t="s">
        <v>21</v>
      </c>
      <c r="J10" s="12" t="s">
        <v>10</v>
      </c>
    </row>
    <row r="11" spans="2:14" ht="30" customHeight="1" x14ac:dyDescent="0.3">
      <c r="B11" s="4">
        <v>1</v>
      </c>
      <c r="C11" s="43" t="s">
        <v>31</v>
      </c>
      <c r="D11" s="43"/>
      <c r="E11" s="43"/>
      <c r="F11" s="5">
        <v>1</v>
      </c>
      <c r="G11" s="15">
        <v>100</v>
      </c>
      <c r="H11" s="4" t="s">
        <v>28</v>
      </c>
      <c r="I11" s="16">
        <f>90710*15%</f>
        <v>13606.5</v>
      </c>
      <c r="J11" s="19">
        <f t="shared" ref="J11:J18" si="0">G11*I11</f>
        <v>1360650</v>
      </c>
      <c r="L11" s="1">
        <f>90710*18%</f>
        <v>16327.8</v>
      </c>
      <c r="M11" s="1">
        <v>90710</v>
      </c>
      <c r="N11" s="1">
        <f>SUM(L11:M11)</f>
        <v>107037.8</v>
      </c>
    </row>
    <row r="12" spans="2:14" ht="30" customHeight="1" x14ac:dyDescent="0.3">
      <c r="B12" s="4">
        <v>2</v>
      </c>
      <c r="C12" s="43" t="s">
        <v>32</v>
      </c>
      <c r="D12" s="43"/>
      <c r="E12" s="43"/>
      <c r="F12" s="5">
        <v>1</v>
      </c>
      <c r="G12" s="15">
        <v>50</v>
      </c>
      <c r="H12" s="4" t="s">
        <v>28</v>
      </c>
      <c r="I12" s="16">
        <f>93251*15%</f>
        <v>13987.65</v>
      </c>
      <c r="J12" s="19">
        <f t="shared" si="0"/>
        <v>699382.5</v>
      </c>
      <c r="L12" s="1">
        <f>93251*18%</f>
        <v>16785.18</v>
      </c>
      <c r="M12" s="1">
        <f>93251</f>
        <v>93251</v>
      </c>
      <c r="N12" s="1">
        <f>SUM(L12:M12)</f>
        <v>110036.18</v>
      </c>
    </row>
    <row r="13" spans="2:14" ht="31" customHeight="1" x14ac:dyDescent="0.3">
      <c r="B13" s="4">
        <v>3</v>
      </c>
      <c r="C13" s="43" t="s">
        <v>33</v>
      </c>
      <c r="D13" s="43"/>
      <c r="E13" s="43"/>
      <c r="F13" s="5">
        <v>1</v>
      </c>
      <c r="G13" s="15">
        <v>100</v>
      </c>
      <c r="H13" s="4" t="s">
        <v>28</v>
      </c>
      <c r="I13" s="16">
        <f>90710*15%</f>
        <v>13606.5</v>
      </c>
      <c r="J13" s="19">
        <f t="shared" si="0"/>
        <v>1360650</v>
      </c>
    </row>
    <row r="14" spans="2:14" ht="30.5" customHeight="1" x14ac:dyDescent="0.3">
      <c r="B14" s="4">
        <v>4</v>
      </c>
      <c r="C14" s="43" t="s">
        <v>34</v>
      </c>
      <c r="D14" s="43"/>
      <c r="E14" s="43"/>
      <c r="F14" s="5">
        <v>1</v>
      </c>
      <c r="G14" s="15">
        <v>50</v>
      </c>
      <c r="H14" s="4" t="s">
        <v>28</v>
      </c>
      <c r="I14" s="16">
        <f>93251*15%</f>
        <v>13987.65</v>
      </c>
      <c r="J14" s="19">
        <f t="shared" si="0"/>
        <v>699382.5</v>
      </c>
    </row>
    <row r="15" spans="2:14" ht="33.5" customHeight="1" x14ac:dyDescent="0.3">
      <c r="B15" s="4">
        <v>5</v>
      </c>
      <c r="C15" s="43" t="s">
        <v>35</v>
      </c>
      <c r="D15" s="43"/>
      <c r="E15" s="43"/>
      <c r="F15" s="5">
        <v>1</v>
      </c>
      <c r="G15" s="15">
        <v>4</v>
      </c>
      <c r="H15" s="4" t="s">
        <v>28</v>
      </c>
      <c r="I15" s="16">
        <f>(90710*15%)-((90710*15%)*7%)</f>
        <v>12654.045</v>
      </c>
      <c r="J15" s="19">
        <f t="shared" si="0"/>
        <v>50616.18</v>
      </c>
    </row>
    <row r="16" spans="2:14" ht="31" customHeight="1" x14ac:dyDescent="0.3">
      <c r="B16" s="4">
        <v>6</v>
      </c>
      <c r="C16" s="43" t="s">
        <v>36</v>
      </c>
      <c r="D16" s="43"/>
      <c r="E16" s="43"/>
      <c r="F16" s="5">
        <v>1</v>
      </c>
      <c r="G16" s="15">
        <v>2</v>
      </c>
      <c r="H16" s="4" t="s">
        <v>28</v>
      </c>
      <c r="I16" s="16">
        <f>(93251*15%)-((93251*15%)*7%)</f>
        <v>13008.514499999999</v>
      </c>
      <c r="J16" s="19">
        <f t="shared" si="0"/>
        <v>26017.028999999999</v>
      </c>
    </row>
    <row r="17" spans="2:12" ht="31.5" customHeight="1" x14ac:dyDescent="0.3">
      <c r="B17" s="4">
        <v>7</v>
      </c>
      <c r="C17" s="43" t="s">
        <v>37</v>
      </c>
      <c r="D17" s="43"/>
      <c r="E17" s="43"/>
      <c r="F17" s="5">
        <v>1</v>
      </c>
      <c r="G17" s="15">
        <v>4</v>
      </c>
      <c r="H17" s="4" t="s">
        <v>28</v>
      </c>
      <c r="I17" s="16">
        <f>(90710*15%)-((90710*15%)*7%)</f>
        <v>12654.045</v>
      </c>
      <c r="J17" s="19">
        <f t="shared" si="0"/>
        <v>50616.18</v>
      </c>
    </row>
    <row r="18" spans="2:12" ht="32.5" customHeight="1" x14ac:dyDescent="0.3">
      <c r="B18" s="4">
        <v>8</v>
      </c>
      <c r="C18" s="43" t="s">
        <v>38</v>
      </c>
      <c r="D18" s="43"/>
      <c r="E18" s="43"/>
      <c r="F18" s="5">
        <v>1</v>
      </c>
      <c r="G18" s="15">
        <v>2</v>
      </c>
      <c r="H18" s="4" t="s">
        <v>28</v>
      </c>
      <c r="I18" s="16">
        <f>(93251*15%)-((93251*15%)*7%)</f>
        <v>13008.514499999999</v>
      </c>
      <c r="J18" s="19">
        <f t="shared" si="0"/>
        <v>26017.028999999999</v>
      </c>
    </row>
    <row r="19" spans="2:12" ht="17.399999999999999" customHeight="1" x14ac:dyDescent="0.35">
      <c r="B19" s="13"/>
      <c r="C19" s="47" t="s">
        <v>18</v>
      </c>
      <c r="D19" s="47"/>
      <c r="E19" s="47"/>
      <c r="F19" s="47"/>
      <c r="G19" s="47"/>
      <c r="H19" s="47"/>
      <c r="I19" s="47"/>
      <c r="J19" s="6">
        <f>SUM(J11:J18)</f>
        <v>4273331.4179999996</v>
      </c>
    </row>
    <row r="20" spans="2:12" ht="17.399999999999999" customHeight="1" x14ac:dyDescent="0.35">
      <c r="B20" s="13"/>
      <c r="C20" s="46" t="s">
        <v>29</v>
      </c>
      <c r="D20" s="46"/>
      <c r="E20" s="46"/>
      <c r="F20" s="46"/>
      <c r="G20" s="46"/>
      <c r="H20" s="46"/>
      <c r="I20" s="46"/>
      <c r="J20" s="6">
        <f>J19*9%</f>
        <v>384599.82761999994</v>
      </c>
      <c r="L20" s="20">
        <f>J23+'2'!J27+'3'!J56</f>
        <v>20163765.730799999</v>
      </c>
    </row>
    <row r="21" spans="2:12" ht="17.399999999999999" customHeight="1" x14ac:dyDescent="0.35">
      <c r="B21" s="13"/>
      <c r="C21" s="46" t="s">
        <v>30</v>
      </c>
      <c r="D21" s="46"/>
      <c r="E21" s="46"/>
      <c r="F21" s="46"/>
      <c r="G21" s="46"/>
      <c r="H21" s="46"/>
      <c r="I21" s="46"/>
      <c r="J21" s="6">
        <f>J19*9%</f>
        <v>384599.82761999994</v>
      </c>
    </row>
    <row r="22" spans="2:12" ht="17.399999999999999" customHeight="1" x14ac:dyDescent="0.35">
      <c r="B22" s="13"/>
      <c r="C22" s="46"/>
      <c r="D22" s="46"/>
      <c r="E22" s="46"/>
      <c r="F22" s="46"/>
      <c r="G22" s="46"/>
      <c r="H22" s="46"/>
      <c r="I22" s="46"/>
      <c r="J22" s="6"/>
    </row>
    <row r="23" spans="2:12" ht="17.399999999999999" customHeight="1" x14ac:dyDescent="0.35">
      <c r="B23" s="13"/>
      <c r="C23" s="12"/>
      <c r="D23" s="12"/>
      <c r="E23" s="12"/>
      <c r="F23" s="12"/>
      <c r="G23" s="12"/>
      <c r="H23" s="12"/>
      <c r="I23" s="12"/>
      <c r="J23" s="18">
        <f>J19+J21+J22+J20</f>
        <v>5042531.0732399989</v>
      </c>
    </row>
    <row r="24" spans="2:12" ht="15.5" x14ac:dyDescent="0.35">
      <c r="B24" s="7"/>
      <c r="C24" s="48" t="s">
        <v>39</v>
      </c>
      <c r="D24" s="48"/>
      <c r="E24" s="48"/>
      <c r="F24" s="48"/>
      <c r="G24" s="48"/>
      <c r="H24" s="48"/>
      <c r="I24" s="48"/>
      <c r="J24" s="48"/>
    </row>
    <row r="25" spans="2:12" ht="15.5" x14ac:dyDescent="0.35">
      <c r="B25" s="13"/>
      <c r="C25" s="37" t="s">
        <v>12</v>
      </c>
      <c r="D25" s="37"/>
      <c r="E25" s="37"/>
      <c r="F25" s="7"/>
      <c r="G25" s="7"/>
      <c r="H25" s="7"/>
      <c r="I25" s="7"/>
      <c r="J25" s="8">
        <v>0</v>
      </c>
    </row>
    <row r="26" spans="2:12" ht="15.5" x14ac:dyDescent="0.35">
      <c r="B26" s="13"/>
      <c r="C26" s="37" t="s">
        <v>20</v>
      </c>
      <c r="D26" s="37"/>
      <c r="E26" s="37"/>
      <c r="F26" s="7"/>
      <c r="G26" s="7"/>
      <c r="H26" s="7"/>
      <c r="I26" s="7"/>
      <c r="J26" s="8">
        <v>0</v>
      </c>
    </row>
    <row r="27" spans="2:12" ht="15.5" x14ac:dyDescent="0.35">
      <c r="B27" s="13"/>
      <c r="C27" s="37" t="s">
        <v>13</v>
      </c>
      <c r="D27" s="37"/>
      <c r="E27" s="37"/>
      <c r="F27" s="7"/>
      <c r="G27" s="7" t="s">
        <v>19</v>
      </c>
      <c r="H27" s="7"/>
      <c r="I27" s="7"/>
      <c r="J27" s="17">
        <f>J23</f>
        <v>5042531.0732399989</v>
      </c>
    </row>
    <row r="28" spans="2:12" ht="15.5" x14ac:dyDescent="0.35">
      <c r="B28" s="7"/>
      <c r="C28" s="37"/>
      <c r="D28" s="37"/>
      <c r="E28" s="37"/>
      <c r="F28" s="7"/>
      <c r="G28" s="7"/>
      <c r="H28" s="7"/>
      <c r="I28" s="7"/>
      <c r="J28" s="7"/>
      <c r="L28" s="10"/>
    </row>
    <row r="29" spans="2:12" x14ac:dyDescent="0.3">
      <c r="B29" s="34" t="s">
        <v>14</v>
      </c>
      <c r="C29" s="34"/>
      <c r="D29" s="34"/>
      <c r="E29" s="34"/>
      <c r="F29" s="34"/>
      <c r="G29" s="34"/>
      <c r="H29" s="34"/>
      <c r="I29" s="34"/>
      <c r="J29" s="34"/>
    </row>
    <row r="30" spans="2:12" x14ac:dyDescent="0.3">
      <c r="B30" s="34"/>
      <c r="C30" s="34"/>
      <c r="D30" s="34"/>
      <c r="E30" s="34"/>
      <c r="F30" s="34"/>
      <c r="G30" s="34"/>
      <c r="H30" s="34"/>
      <c r="I30" s="34"/>
      <c r="J30" s="34"/>
    </row>
    <row r="31" spans="2:12" x14ac:dyDescent="0.3">
      <c r="B31" s="34"/>
      <c r="C31" s="34"/>
      <c r="D31" s="34"/>
      <c r="E31" s="34"/>
      <c r="F31" s="34"/>
      <c r="G31" s="34"/>
      <c r="H31" s="34"/>
      <c r="I31" s="34"/>
      <c r="J31" s="34"/>
    </row>
    <row r="34" spans="2:10" ht="14.15" customHeight="1" x14ac:dyDescent="0.3">
      <c r="B34" s="33" t="s">
        <v>15</v>
      </c>
      <c r="C34" s="33"/>
      <c r="D34" s="33"/>
      <c r="E34" s="33"/>
      <c r="F34" s="33"/>
      <c r="G34" s="33"/>
      <c r="H34" s="33"/>
      <c r="I34" s="33"/>
      <c r="J34" s="33"/>
    </row>
    <row r="35" spans="2:10" ht="14.15" customHeight="1" x14ac:dyDescent="0.3">
      <c r="B35" s="33"/>
      <c r="C35" s="33"/>
      <c r="D35" s="33"/>
      <c r="E35" s="33"/>
      <c r="F35" s="33"/>
      <c r="G35" s="33"/>
      <c r="H35" s="33"/>
      <c r="I35" s="33"/>
      <c r="J35" s="33"/>
    </row>
    <row r="36" spans="2:10" x14ac:dyDescent="0.3">
      <c r="B36" s="33"/>
      <c r="C36" s="33"/>
      <c r="D36" s="33"/>
      <c r="E36" s="33"/>
      <c r="F36" s="33"/>
      <c r="G36" s="33"/>
      <c r="H36" s="33"/>
      <c r="I36" s="33"/>
      <c r="J36" s="33"/>
    </row>
    <row r="37" spans="2:10" x14ac:dyDescent="0.3">
      <c r="B37" s="33"/>
      <c r="C37" s="33"/>
      <c r="D37" s="33"/>
      <c r="E37" s="33"/>
      <c r="F37" s="33"/>
      <c r="G37" s="33"/>
      <c r="H37" s="33"/>
      <c r="I37" s="33"/>
      <c r="J37" s="33"/>
    </row>
    <row r="38" spans="2:10" ht="15.5" x14ac:dyDescent="0.35">
      <c r="B38" s="7"/>
      <c r="C38" s="7"/>
      <c r="D38" s="7"/>
      <c r="E38" s="7"/>
      <c r="F38" s="7"/>
      <c r="G38" s="7"/>
      <c r="H38" s="7"/>
      <c r="I38" s="7"/>
      <c r="J38" s="7"/>
    </row>
    <row r="39" spans="2:10" ht="15.5" x14ac:dyDescent="0.35">
      <c r="B39" s="7"/>
      <c r="C39" s="7"/>
      <c r="D39" s="7"/>
      <c r="E39" s="7"/>
      <c r="F39" s="7"/>
      <c r="G39" s="7"/>
      <c r="H39" s="7"/>
      <c r="I39" s="7"/>
      <c r="J39" s="7"/>
    </row>
  </sheetData>
  <mergeCells count="35">
    <mergeCell ref="B6:G6"/>
    <mergeCell ref="I6:J6"/>
    <mergeCell ref="B7:C7"/>
    <mergeCell ref="D7:G7"/>
    <mergeCell ref="I7:J7"/>
    <mergeCell ref="B2:J2"/>
    <mergeCell ref="B4:C4"/>
    <mergeCell ref="D4:G4"/>
    <mergeCell ref="H4:I4"/>
    <mergeCell ref="B5:C5"/>
    <mergeCell ref="D5:J5"/>
    <mergeCell ref="B8:C8"/>
    <mergeCell ref="D8:J8"/>
    <mergeCell ref="B9:J9"/>
    <mergeCell ref="C10:E10"/>
    <mergeCell ref="C18:E18"/>
    <mergeCell ref="C11:E11"/>
    <mergeCell ref="C17:E17"/>
    <mergeCell ref="C12:E12"/>
    <mergeCell ref="C16:E16"/>
    <mergeCell ref="C13:E13"/>
    <mergeCell ref="C14:E14"/>
    <mergeCell ref="C15:E15"/>
    <mergeCell ref="C19:I19"/>
    <mergeCell ref="C20:I20"/>
    <mergeCell ref="B36:J37"/>
    <mergeCell ref="C25:E25"/>
    <mergeCell ref="C26:E26"/>
    <mergeCell ref="C27:E27"/>
    <mergeCell ref="C21:I21"/>
    <mergeCell ref="C22:I22"/>
    <mergeCell ref="C24:J24"/>
    <mergeCell ref="C28:E28"/>
    <mergeCell ref="B29:J31"/>
    <mergeCell ref="B34:J35"/>
  </mergeCells>
  <pageMargins left="0.7" right="0.7" top="0.75" bottom="0.75" header="0.3" footer="0.3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B6147-8D5B-45C8-A127-22A20045AE3A}">
  <sheetPr>
    <pageSetUpPr fitToPage="1"/>
  </sheetPr>
  <dimension ref="B2:M43"/>
  <sheetViews>
    <sheetView topLeftCell="A20" zoomScaleNormal="100" workbookViewId="0">
      <selection activeCell="J27" sqref="J27"/>
    </sheetView>
  </sheetViews>
  <sheetFormatPr defaultColWidth="8.6328125" defaultRowHeight="14" x14ac:dyDescent="0.3"/>
  <cols>
    <col min="1" max="1" width="8.6328125" style="1"/>
    <col min="2" max="2" width="5.36328125" style="1" customWidth="1"/>
    <col min="3" max="3" width="12.453125" style="1" customWidth="1"/>
    <col min="4" max="4" width="9.90625" style="1" customWidth="1"/>
    <col min="5" max="5" width="32.90625" style="1" customWidth="1"/>
    <col min="6" max="6" width="11.453125" style="1" customWidth="1"/>
    <col min="7" max="7" width="11" style="1" bestFit="1" customWidth="1"/>
    <col min="8" max="8" width="10.453125" style="1" customWidth="1"/>
    <col min="9" max="9" width="8.54296875" style="1" customWidth="1"/>
    <col min="10" max="10" width="15.1796875" style="1" customWidth="1"/>
    <col min="11" max="11" width="8.6328125" style="1"/>
    <col min="12" max="12" width="11.08984375" style="1" bestFit="1" customWidth="1"/>
    <col min="13" max="13" width="11.453125" style="1" bestFit="1" customWidth="1"/>
    <col min="14" max="16384" width="8.6328125" style="1"/>
  </cols>
  <sheetData>
    <row r="2" spans="2:13" ht="17.5" x14ac:dyDescent="0.35">
      <c r="B2" s="35" t="s">
        <v>0</v>
      </c>
      <c r="C2" s="35"/>
      <c r="D2" s="35"/>
      <c r="E2" s="35"/>
      <c r="F2" s="35"/>
      <c r="G2" s="35"/>
      <c r="H2" s="35"/>
      <c r="I2" s="35"/>
      <c r="J2" s="35"/>
    </row>
    <row r="3" spans="2:13" ht="39" customHeight="1" x14ac:dyDescent="0.35">
      <c r="B3" s="11"/>
      <c r="C3" s="11"/>
      <c r="D3" s="11"/>
      <c r="E3" s="11"/>
      <c r="F3" s="11"/>
      <c r="G3" s="11"/>
      <c r="H3" s="11"/>
      <c r="I3" s="11"/>
      <c r="J3" s="11"/>
    </row>
    <row r="4" spans="2:13" ht="15.65" customHeight="1" x14ac:dyDescent="0.35">
      <c r="B4" s="36" t="s">
        <v>16</v>
      </c>
      <c r="C4" s="36"/>
      <c r="D4" s="37" t="s">
        <v>24</v>
      </c>
      <c r="E4" s="37"/>
      <c r="F4" s="37"/>
      <c r="G4" s="37"/>
      <c r="H4" s="38" t="s">
        <v>22</v>
      </c>
      <c r="I4" s="38"/>
      <c r="J4" s="7"/>
    </row>
    <row r="5" spans="2:13" ht="18.899999999999999" customHeight="1" x14ac:dyDescent="0.3">
      <c r="B5" s="33" t="s">
        <v>1</v>
      </c>
      <c r="C5" s="33"/>
      <c r="D5" s="34" t="s">
        <v>25</v>
      </c>
      <c r="E5" s="34"/>
      <c r="F5" s="34"/>
      <c r="G5" s="34"/>
      <c r="H5" s="34"/>
      <c r="I5" s="34"/>
      <c r="J5" s="34"/>
    </row>
    <row r="6" spans="2:13" ht="30.9" customHeight="1" x14ac:dyDescent="0.35">
      <c r="B6" s="39" t="s">
        <v>23</v>
      </c>
      <c r="C6" s="39"/>
      <c r="D6" s="39"/>
      <c r="E6" s="39"/>
      <c r="F6" s="39"/>
      <c r="G6" s="39"/>
      <c r="H6" s="9" t="s">
        <v>2</v>
      </c>
      <c r="I6" s="40">
        <v>45744</v>
      </c>
      <c r="J6" s="41"/>
    </row>
    <row r="7" spans="2:13" ht="20.149999999999999" customHeight="1" x14ac:dyDescent="0.3">
      <c r="B7" s="42" t="s">
        <v>3</v>
      </c>
      <c r="C7" s="42"/>
      <c r="D7" s="43" t="s">
        <v>26</v>
      </c>
      <c r="E7" s="43"/>
      <c r="F7" s="43"/>
      <c r="G7" s="43"/>
      <c r="H7" s="3" t="s">
        <v>17</v>
      </c>
      <c r="I7" s="40">
        <v>45744</v>
      </c>
      <c r="J7" s="41"/>
    </row>
    <row r="8" spans="2:13" ht="18.899999999999999" customHeight="1" x14ac:dyDescent="0.3">
      <c r="B8" s="33" t="s">
        <v>5</v>
      </c>
      <c r="C8" s="33"/>
      <c r="D8" s="34" t="s">
        <v>27</v>
      </c>
      <c r="E8" s="34"/>
      <c r="F8" s="34"/>
      <c r="G8" s="34"/>
      <c r="H8" s="34"/>
      <c r="I8" s="34"/>
      <c r="J8" s="34"/>
    </row>
    <row r="9" spans="2:13" ht="20.399999999999999" customHeight="1" x14ac:dyDescent="0.3">
      <c r="B9" s="33" t="s">
        <v>4</v>
      </c>
      <c r="C9" s="33"/>
      <c r="D9" s="33"/>
      <c r="E9" s="33"/>
      <c r="F9" s="33"/>
      <c r="G9" s="33"/>
      <c r="H9" s="33"/>
      <c r="I9" s="33"/>
      <c r="J9" s="33"/>
    </row>
    <row r="10" spans="2:13" ht="30" x14ac:dyDescent="0.3">
      <c r="B10" s="2" t="s">
        <v>11</v>
      </c>
      <c r="C10" s="45" t="s">
        <v>6</v>
      </c>
      <c r="D10" s="45"/>
      <c r="E10" s="45"/>
      <c r="F10" s="3" t="s">
        <v>7</v>
      </c>
      <c r="G10" s="14" t="s">
        <v>8</v>
      </c>
      <c r="H10" s="14" t="s">
        <v>9</v>
      </c>
      <c r="I10" s="2" t="s">
        <v>21</v>
      </c>
      <c r="J10" s="12" t="s">
        <v>10</v>
      </c>
    </row>
    <row r="11" spans="2:13" ht="30" customHeight="1" x14ac:dyDescent="0.3">
      <c r="B11" s="4">
        <v>1</v>
      </c>
      <c r="C11" s="43" t="s">
        <v>45</v>
      </c>
      <c r="D11" s="43"/>
      <c r="E11" s="43"/>
      <c r="F11" s="5">
        <v>1</v>
      </c>
      <c r="G11" s="15">
        <v>100</v>
      </c>
      <c r="H11" s="4" t="s">
        <v>28</v>
      </c>
      <c r="I11" s="16">
        <f>90710*40%</f>
        <v>36284</v>
      </c>
      <c r="J11" s="19">
        <f t="shared" ref="J11:J22" si="0">G11*I11</f>
        <v>3628400</v>
      </c>
      <c r="L11" s="1">
        <f>90710*18%+90710</f>
        <v>107037.8</v>
      </c>
      <c r="M11" s="20">
        <f>L11*104</f>
        <v>11131931.200000001</v>
      </c>
    </row>
    <row r="12" spans="2:13" ht="30" customHeight="1" x14ac:dyDescent="0.3">
      <c r="B12" s="4">
        <v>2</v>
      </c>
      <c r="C12" s="43" t="s">
        <v>46</v>
      </c>
      <c r="D12" s="43"/>
      <c r="E12" s="43"/>
      <c r="F12" s="5">
        <v>1</v>
      </c>
      <c r="G12" s="15">
        <v>50</v>
      </c>
      <c r="H12" s="4" t="s">
        <v>28</v>
      </c>
      <c r="I12" s="16">
        <f>93251*40%</f>
        <v>37300.400000000001</v>
      </c>
      <c r="J12" s="19">
        <f t="shared" si="0"/>
        <v>1865020</v>
      </c>
      <c r="L12" s="1">
        <f>93251*18%+93251</f>
        <v>110036.18</v>
      </c>
      <c r="M12" s="20">
        <f>L12*52</f>
        <v>5721881.3599999994</v>
      </c>
    </row>
    <row r="13" spans="2:13" ht="30" customHeight="1" x14ac:dyDescent="0.3">
      <c r="B13" s="4">
        <v>3</v>
      </c>
      <c r="C13" s="43" t="s">
        <v>41</v>
      </c>
      <c r="D13" s="43"/>
      <c r="E13" s="43"/>
      <c r="F13" s="5">
        <v>1</v>
      </c>
      <c r="G13" s="15">
        <v>100</v>
      </c>
      <c r="H13" s="4" t="s">
        <v>28</v>
      </c>
      <c r="I13" s="16">
        <f>90710*15%</f>
        <v>13606.5</v>
      </c>
      <c r="J13" s="19">
        <f t="shared" si="0"/>
        <v>1360650</v>
      </c>
      <c r="M13" s="20"/>
    </row>
    <row r="14" spans="2:13" ht="30" customHeight="1" x14ac:dyDescent="0.3">
      <c r="B14" s="4">
        <v>4</v>
      </c>
      <c r="C14" s="43" t="s">
        <v>42</v>
      </c>
      <c r="D14" s="43"/>
      <c r="E14" s="43"/>
      <c r="F14" s="5">
        <v>1</v>
      </c>
      <c r="G14" s="15">
        <v>50</v>
      </c>
      <c r="H14" s="4" t="s">
        <v>28</v>
      </c>
      <c r="I14" s="16">
        <f>93251*15%</f>
        <v>13987.65</v>
      </c>
      <c r="J14" s="19">
        <f t="shared" si="0"/>
        <v>699382.5</v>
      </c>
      <c r="M14" s="20"/>
    </row>
    <row r="15" spans="2:13" ht="30" customHeight="1" x14ac:dyDescent="0.3">
      <c r="B15" s="4">
        <v>5</v>
      </c>
      <c r="C15" s="43" t="s">
        <v>49</v>
      </c>
      <c r="D15" s="43"/>
      <c r="E15" s="43"/>
      <c r="F15" s="5">
        <v>1</v>
      </c>
      <c r="G15" s="15">
        <v>100</v>
      </c>
      <c r="H15" s="4" t="s">
        <v>28</v>
      </c>
      <c r="I15" s="16">
        <f>90710*15%</f>
        <v>13606.5</v>
      </c>
      <c r="J15" s="19">
        <f t="shared" ref="J15:J20" si="1">G15*I15</f>
        <v>1360650</v>
      </c>
      <c r="M15" s="20"/>
    </row>
    <row r="16" spans="2:13" ht="30" customHeight="1" x14ac:dyDescent="0.3">
      <c r="B16" s="4">
        <v>6</v>
      </c>
      <c r="C16" s="43" t="s">
        <v>50</v>
      </c>
      <c r="D16" s="43"/>
      <c r="E16" s="43"/>
      <c r="F16" s="5">
        <v>1</v>
      </c>
      <c r="G16" s="15">
        <v>50</v>
      </c>
      <c r="H16" s="4" t="s">
        <v>28</v>
      </c>
      <c r="I16" s="16">
        <f>93251*15%</f>
        <v>13987.65</v>
      </c>
      <c r="J16" s="19">
        <f t="shared" si="1"/>
        <v>699382.5</v>
      </c>
      <c r="M16" s="20"/>
    </row>
    <row r="17" spans="2:12" ht="33.5" customHeight="1" x14ac:dyDescent="0.3">
      <c r="B17" s="4">
        <v>7</v>
      </c>
      <c r="C17" s="43" t="s">
        <v>47</v>
      </c>
      <c r="D17" s="43"/>
      <c r="E17" s="43"/>
      <c r="F17" s="5">
        <v>1</v>
      </c>
      <c r="G17" s="15">
        <v>4</v>
      </c>
      <c r="H17" s="4" t="s">
        <v>28</v>
      </c>
      <c r="I17" s="16">
        <f>(90710*40%)-((90710*40%)*7%)</f>
        <v>33744.120000000003</v>
      </c>
      <c r="J17" s="19">
        <f t="shared" si="1"/>
        <v>134976.48000000001</v>
      </c>
    </row>
    <row r="18" spans="2:12" ht="31" customHeight="1" x14ac:dyDescent="0.3">
      <c r="B18" s="4">
        <v>8</v>
      </c>
      <c r="C18" s="43" t="s">
        <v>48</v>
      </c>
      <c r="D18" s="43"/>
      <c r="E18" s="43"/>
      <c r="F18" s="5">
        <v>1</v>
      </c>
      <c r="G18" s="15">
        <v>2</v>
      </c>
      <c r="H18" s="4" t="s">
        <v>28</v>
      </c>
      <c r="I18" s="16">
        <f>(93251*40%)-((93251*40%)*7%)</f>
        <v>34689.372000000003</v>
      </c>
      <c r="J18" s="19">
        <f t="shared" si="1"/>
        <v>69378.744000000006</v>
      </c>
    </row>
    <row r="19" spans="2:12" ht="33.5" customHeight="1" x14ac:dyDescent="0.3">
      <c r="B19" s="4">
        <v>9</v>
      </c>
      <c r="C19" s="43" t="s">
        <v>43</v>
      </c>
      <c r="D19" s="43"/>
      <c r="E19" s="43"/>
      <c r="F19" s="5">
        <v>1</v>
      </c>
      <c r="G19" s="15">
        <v>4</v>
      </c>
      <c r="H19" s="4" t="s">
        <v>28</v>
      </c>
      <c r="I19" s="16">
        <f>(90710*15%)-((90710*15%)*7%)</f>
        <v>12654.045</v>
      </c>
      <c r="J19" s="19">
        <f t="shared" si="1"/>
        <v>50616.18</v>
      </c>
    </row>
    <row r="20" spans="2:12" ht="31" customHeight="1" x14ac:dyDescent="0.3">
      <c r="B20" s="4">
        <v>10</v>
      </c>
      <c r="C20" s="43" t="s">
        <v>44</v>
      </c>
      <c r="D20" s="43"/>
      <c r="E20" s="43"/>
      <c r="F20" s="5">
        <v>1</v>
      </c>
      <c r="G20" s="15">
        <v>2</v>
      </c>
      <c r="H20" s="4" t="s">
        <v>28</v>
      </c>
      <c r="I20" s="16">
        <f>(93251*15%)-((93251*15%)*7%)</f>
        <v>13008.514499999999</v>
      </c>
      <c r="J20" s="19">
        <f t="shared" si="1"/>
        <v>26017.028999999999</v>
      </c>
    </row>
    <row r="21" spans="2:12" ht="33.5" customHeight="1" x14ac:dyDescent="0.3">
      <c r="B21" s="4">
        <v>11</v>
      </c>
      <c r="C21" s="43" t="s">
        <v>51</v>
      </c>
      <c r="D21" s="43"/>
      <c r="E21" s="43"/>
      <c r="F21" s="5">
        <v>1</v>
      </c>
      <c r="G21" s="15">
        <v>4</v>
      </c>
      <c r="H21" s="4" t="s">
        <v>28</v>
      </c>
      <c r="I21" s="16">
        <f>(90710*15%)-((90710*15%)*7%)</f>
        <v>12654.045</v>
      </c>
      <c r="J21" s="19">
        <f t="shared" si="0"/>
        <v>50616.18</v>
      </c>
    </row>
    <row r="22" spans="2:12" ht="31" customHeight="1" x14ac:dyDescent="0.3">
      <c r="B22" s="4">
        <v>12</v>
      </c>
      <c r="C22" s="43" t="s">
        <v>52</v>
      </c>
      <c r="D22" s="43"/>
      <c r="E22" s="43"/>
      <c r="F22" s="5">
        <v>1</v>
      </c>
      <c r="G22" s="15">
        <v>2</v>
      </c>
      <c r="H22" s="4" t="s">
        <v>28</v>
      </c>
      <c r="I22" s="16">
        <f>(93251*15%)-((93251*15%)*7%)</f>
        <v>13008.514499999999</v>
      </c>
      <c r="J22" s="19">
        <f t="shared" si="0"/>
        <v>26017.028999999999</v>
      </c>
    </row>
    <row r="23" spans="2:12" ht="17.399999999999999" customHeight="1" x14ac:dyDescent="0.35">
      <c r="B23" s="13"/>
      <c r="C23" s="47" t="s">
        <v>18</v>
      </c>
      <c r="D23" s="47"/>
      <c r="E23" s="47"/>
      <c r="F23" s="47"/>
      <c r="G23" s="47"/>
      <c r="H23" s="47"/>
      <c r="I23" s="47"/>
      <c r="J23" s="18">
        <f>SUM(J11:J22)</f>
        <v>9971106.6419999991</v>
      </c>
    </row>
    <row r="24" spans="2:12" ht="17.399999999999999" customHeight="1" x14ac:dyDescent="0.35">
      <c r="B24" s="13"/>
      <c r="C24" s="46" t="s">
        <v>29</v>
      </c>
      <c r="D24" s="46"/>
      <c r="E24" s="46"/>
      <c r="F24" s="46"/>
      <c r="G24" s="46"/>
      <c r="H24" s="46"/>
      <c r="I24" s="46"/>
      <c r="J24" s="18">
        <f>J23*9%</f>
        <v>897399.59777999984</v>
      </c>
    </row>
    <row r="25" spans="2:12" ht="17.399999999999999" customHeight="1" x14ac:dyDescent="0.35">
      <c r="B25" s="13"/>
      <c r="C25" s="46" t="s">
        <v>30</v>
      </c>
      <c r="D25" s="46"/>
      <c r="E25" s="46"/>
      <c r="F25" s="46"/>
      <c r="G25" s="46"/>
      <c r="H25" s="46"/>
      <c r="I25" s="46"/>
      <c r="J25" s="18">
        <f>J23*9%</f>
        <v>897399.59777999984</v>
      </c>
    </row>
    <row r="26" spans="2:12" ht="17.399999999999999" customHeight="1" x14ac:dyDescent="0.35">
      <c r="B26" s="13"/>
      <c r="C26" s="46"/>
      <c r="D26" s="46"/>
      <c r="E26" s="46"/>
      <c r="F26" s="46"/>
      <c r="G26" s="46"/>
      <c r="H26" s="46"/>
      <c r="I26" s="46"/>
      <c r="J26" s="6"/>
    </row>
    <row r="27" spans="2:12" ht="17.399999999999999" customHeight="1" x14ac:dyDescent="0.35">
      <c r="B27" s="13"/>
      <c r="C27" s="12"/>
      <c r="D27" s="12"/>
      <c r="E27" s="12"/>
      <c r="F27" s="12"/>
      <c r="G27" s="12"/>
      <c r="H27" s="12"/>
      <c r="I27" s="12"/>
      <c r="J27" s="18">
        <f>J23+J25+J26+J24</f>
        <v>11765905.83756</v>
      </c>
    </row>
    <row r="28" spans="2:12" ht="15.5" x14ac:dyDescent="0.35">
      <c r="B28" s="7"/>
      <c r="C28" s="48" t="s">
        <v>40</v>
      </c>
      <c r="D28" s="48"/>
      <c r="E28" s="48"/>
      <c r="F28" s="48"/>
      <c r="G28" s="48"/>
      <c r="H28" s="48"/>
      <c r="I28" s="48"/>
      <c r="J28" s="48"/>
    </row>
    <row r="29" spans="2:12" ht="15.5" x14ac:dyDescent="0.35">
      <c r="B29" s="13"/>
      <c r="C29" s="37" t="s">
        <v>12</v>
      </c>
      <c r="D29" s="37"/>
      <c r="E29" s="37"/>
      <c r="F29" s="7"/>
      <c r="G29" s="7"/>
      <c r="H29" s="7"/>
      <c r="I29" s="7"/>
      <c r="J29" s="8">
        <v>0</v>
      </c>
    </row>
    <row r="30" spans="2:12" ht="15.5" x14ac:dyDescent="0.35">
      <c r="B30" s="13"/>
      <c r="C30" s="37" t="s">
        <v>20</v>
      </c>
      <c r="D30" s="37"/>
      <c r="E30" s="37"/>
      <c r="F30" s="7"/>
      <c r="G30" s="7"/>
      <c r="H30" s="7"/>
      <c r="I30" s="7"/>
      <c r="J30" s="8">
        <v>0</v>
      </c>
    </row>
    <row r="31" spans="2:12" ht="15.5" x14ac:dyDescent="0.35">
      <c r="B31" s="13"/>
      <c r="C31" s="37" t="s">
        <v>13</v>
      </c>
      <c r="D31" s="37"/>
      <c r="E31" s="37"/>
      <c r="F31" s="7"/>
      <c r="G31" s="7" t="s">
        <v>19</v>
      </c>
      <c r="H31" s="7"/>
      <c r="I31" s="7"/>
      <c r="J31" s="17">
        <f>J27</f>
        <v>11765905.83756</v>
      </c>
    </row>
    <row r="32" spans="2:12" ht="15.5" x14ac:dyDescent="0.35">
      <c r="B32" s="7"/>
      <c r="C32" s="37"/>
      <c r="D32" s="37"/>
      <c r="E32" s="37"/>
      <c r="F32" s="7"/>
      <c r="G32" s="7"/>
      <c r="H32" s="7"/>
      <c r="I32" s="7"/>
      <c r="J32" s="7"/>
      <c r="L32" s="10"/>
    </row>
    <row r="33" spans="2:10" x14ac:dyDescent="0.3">
      <c r="B33" s="34" t="s">
        <v>14</v>
      </c>
      <c r="C33" s="34"/>
      <c r="D33" s="34"/>
      <c r="E33" s="34"/>
      <c r="F33" s="34"/>
      <c r="G33" s="34"/>
      <c r="H33" s="34"/>
      <c r="I33" s="34"/>
      <c r="J33" s="34"/>
    </row>
    <row r="34" spans="2:10" x14ac:dyDescent="0.3">
      <c r="B34" s="34"/>
      <c r="C34" s="34"/>
      <c r="D34" s="34"/>
      <c r="E34" s="34"/>
      <c r="F34" s="34"/>
      <c r="G34" s="34"/>
      <c r="H34" s="34"/>
      <c r="I34" s="34"/>
      <c r="J34" s="34"/>
    </row>
    <row r="35" spans="2:10" x14ac:dyDescent="0.3">
      <c r="B35" s="34"/>
      <c r="C35" s="34"/>
      <c r="D35" s="34"/>
      <c r="E35" s="34"/>
      <c r="F35" s="34"/>
      <c r="G35" s="34"/>
      <c r="H35" s="34"/>
      <c r="I35" s="34"/>
      <c r="J35" s="34"/>
    </row>
    <row r="38" spans="2:10" ht="14.15" customHeight="1" x14ac:dyDescent="0.3">
      <c r="B38" s="33" t="s">
        <v>15</v>
      </c>
      <c r="C38" s="33"/>
      <c r="D38" s="33"/>
      <c r="E38" s="33"/>
      <c r="F38" s="33"/>
      <c r="G38" s="33"/>
      <c r="H38" s="33"/>
      <c r="I38" s="33"/>
      <c r="J38" s="33"/>
    </row>
    <row r="39" spans="2:10" ht="14.15" customHeight="1" x14ac:dyDescent="0.3">
      <c r="B39" s="33"/>
      <c r="C39" s="33"/>
      <c r="D39" s="33"/>
      <c r="E39" s="33"/>
      <c r="F39" s="33"/>
      <c r="G39" s="33"/>
      <c r="H39" s="33"/>
      <c r="I39" s="33"/>
      <c r="J39" s="33"/>
    </row>
    <row r="40" spans="2:10" x14ac:dyDescent="0.3">
      <c r="B40" s="33"/>
      <c r="C40" s="33"/>
      <c r="D40" s="33"/>
      <c r="E40" s="33"/>
      <c r="F40" s="33"/>
      <c r="G40" s="33"/>
      <c r="H40" s="33"/>
      <c r="I40" s="33"/>
      <c r="J40" s="33"/>
    </row>
    <row r="41" spans="2:10" x14ac:dyDescent="0.3">
      <c r="B41" s="33"/>
      <c r="C41" s="33"/>
      <c r="D41" s="33"/>
      <c r="E41" s="33"/>
      <c r="F41" s="33"/>
      <c r="G41" s="33"/>
      <c r="H41" s="33"/>
      <c r="I41" s="33"/>
      <c r="J41" s="33"/>
    </row>
    <row r="42" spans="2:10" ht="15.5" x14ac:dyDescent="0.35">
      <c r="B42" s="7"/>
      <c r="C42" s="7"/>
      <c r="D42" s="7"/>
      <c r="E42" s="7"/>
      <c r="F42" s="7"/>
      <c r="G42" s="7"/>
      <c r="H42" s="7"/>
      <c r="I42" s="7"/>
      <c r="J42" s="7"/>
    </row>
    <row r="43" spans="2:10" ht="15.5" x14ac:dyDescent="0.35">
      <c r="B43" s="7"/>
      <c r="C43" s="7"/>
      <c r="D43" s="7"/>
      <c r="E43" s="7"/>
      <c r="F43" s="7"/>
      <c r="G43" s="7"/>
      <c r="H43" s="7"/>
      <c r="I43" s="7"/>
      <c r="J43" s="7"/>
    </row>
  </sheetData>
  <mergeCells count="39">
    <mergeCell ref="B2:J2"/>
    <mergeCell ref="B4:C4"/>
    <mergeCell ref="D4:G4"/>
    <mergeCell ref="H4:I4"/>
    <mergeCell ref="B5:C5"/>
    <mergeCell ref="D5:J5"/>
    <mergeCell ref="B9:J9"/>
    <mergeCell ref="C10:E10"/>
    <mergeCell ref="C11:E11"/>
    <mergeCell ref="C12:E12"/>
    <mergeCell ref="B6:G6"/>
    <mergeCell ref="I6:J6"/>
    <mergeCell ref="B7:C7"/>
    <mergeCell ref="D7:G7"/>
    <mergeCell ref="I7:J7"/>
    <mergeCell ref="B8:C8"/>
    <mergeCell ref="D8:J8"/>
    <mergeCell ref="B33:J35"/>
    <mergeCell ref="B38:J39"/>
    <mergeCell ref="B40:J41"/>
    <mergeCell ref="C15:E15"/>
    <mergeCell ref="C16:E16"/>
    <mergeCell ref="C17:E17"/>
    <mergeCell ref="C18:E18"/>
    <mergeCell ref="C25:I25"/>
    <mergeCell ref="C26:I26"/>
    <mergeCell ref="C28:J28"/>
    <mergeCell ref="C29:E29"/>
    <mergeCell ref="C30:E30"/>
    <mergeCell ref="C31:E31"/>
    <mergeCell ref="C21:E21"/>
    <mergeCell ref="C22:E22"/>
    <mergeCell ref="C23:I23"/>
    <mergeCell ref="C13:E13"/>
    <mergeCell ref="C14:E14"/>
    <mergeCell ref="C19:E19"/>
    <mergeCell ref="C20:E20"/>
    <mergeCell ref="C32:E32"/>
    <mergeCell ref="C24:I24"/>
  </mergeCells>
  <pageMargins left="0.7" right="0.7" top="0.75" bottom="0.75" header="0.3" footer="0.3"/>
  <pageSetup paperSize="9" scale="56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C750B-DA2B-4549-AC51-2A36A2E2A152}">
  <sheetPr>
    <pageSetUpPr fitToPage="1"/>
  </sheetPr>
  <dimension ref="B2:M72"/>
  <sheetViews>
    <sheetView tabSelected="1" topLeftCell="A47" zoomScaleNormal="100" workbookViewId="0">
      <selection activeCell="B2" sqref="B2:J70"/>
    </sheetView>
  </sheetViews>
  <sheetFormatPr defaultColWidth="8.6328125" defaultRowHeight="14" x14ac:dyDescent="0.3"/>
  <cols>
    <col min="1" max="1" width="8.6328125" style="1"/>
    <col min="2" max="2" width="5.36328125" style="1" customWidth="1"/>
    <col min="3" max="3" width="12.453125" style="1" customWidth="1"/>
    <col min="4" max="4" width="9.90625" style="1" customWidth="1"/>
    <col min="5" max="5" width="32.90625" style="1" customWidth="1"/>
    <col min="6" max="6" width="11.453125" style="1" customWidth="1"/>
    <col min="7" max="7" width="11" style="1" bestFit="1" customWidth="1"/>
    <col min="8" max="8" width="10.453125" style="21" customWidth="1"/>
    <col min="9" max="9" width="9.7265625" style="26" customWidth="1"/>
    <col min="10" max="10" width="15.1796875" style="1" customWidth="1"/>
    <col min="11" max="11" width="8.6328125" style="1"/>
    <col min="12" max="12" width="11.08984375" style="1" bestFit="1" customWidth="1"/>
    <col min="13" max="13" width="11.453125" style="1" bestFit="1" customWidth="1"/>
    <col min="14" max="16384" width="8.6328125" style="1"/>
  </cols>
  <sheetData>
    <row r="2" spans="2:13" ht="17.5" x14ac:dyDescent="0.35">
      <c r="B2" s="35" t="s">
        <v>0</v>
      </c>
      <c r="C2" s="35"/>
      <c r="D2" s="35"/>
      <c r="E2" s="35"/>
      <c r="F2" s="35"/>
      <c r="G2" s="35"/>
      <c r="H2" s="35"/>
      <c r="I2" s="35"/>
      <c r="J2" s="35"/>
    </row>
    <row r="3" spans="2:13" ht="39" customHeight="1" x14ac:dyDescent="0.35">
      <c r="B3" s="11"/>
      <c r="C3" s="11"/>
      <c r="D3" s="11"/>
      <c r="E3" s="11"/>
      <c r="F3" s="11"/>
      <c r="G3" s="11"/>
      <c r="H3" s="11"/>
      <c r="I3" s="22"/>
      <c r="J3" s="11"/>
    </row>
    <row r="4" spans="2:13" ht="15.65" customHeight="1" x14ac:dyDescent="0.35">
      <c r="B4" s="36" t="s">
        <v>16</v>
      </c>
      <c r="C4" s="36"/>
      <c r="D4" s="37" t="s">
        <v>24</v>
      </c>
      <c r="E4" s="37"/>
      <c r="F4" s="37"/>
      <c r="G4" s="37"/>
      <c r="H4" s="38" t="s">
        <v>22</v>
      </c>
      <c r="I4" s="38"/>
      <c r="J4" s="7"/>
    </row>
    <row r="5" spans="2:13" ht="18.899999999999999" customHeight="1" x14ac:dyDescent="0.3">
      <c r="B5" s="33" t="s">
        <v>1</v>
      </c>
      <c r="C5" s="33"/>
      <c r="D5" s="34" t="s">
        <v>25</v>
      </c>
      <c r="E5" s="34"/>
      <c r="F5" s="34"/>
      <c r="G5" s="34"/>
      <c r="H5" s="34"/>
      <c r="I5" s="34"/>
      <c r="J5" s="34"/>
    </row>
    <row r="6" spans="2:13" ht="30.9" customHeight="1" x14ac:dyDescent="0.35">
      <c r="B6" s="39" t="s">
        <v>23</v>
      </c>
      <c r="C6" s="39"/>
      <c r="D6" s="39"/>
      <c r="E6" s="39"/>
      <c r="F6" s="39"/>
      <c r="G6" s="39"/>
      <c r="H6" s="14" t="s">
        <v>2</v>
      </c>
      <c r="I6" s="40">
        <v>45854</v>
      </c>
      <c r="J6" s="41"/>
    </row>
    <row r="7" spans="2:13" ht="20.149999999999999" customHeight="1" x14ac:dyDescent="0.3">
      <c r="B7" s="42" t="s">
        <v>3</v>
      </c>
      <c r="C7" s="42"/>
      <c r="D7" s="43" t="s">
        <v>26</v>
      </c>
      <c r="E7" s="43"/>
      <c r="F7" s="43"/>
      <c r="G7" s="43"/>
      <c r="H7" s="2" t="s">
        <v>17</v>
      </c>
      <c r="I7" s="40">
        <v>45849</v>
      </c>
      <c r="J7" s="41"/>
    </row>
    <row r="8" spans="2:13" ht="18.899999999999999" customHeight="1" x14ac:dyDescent="0.3">
      <c r="B8" s="33" t="s">
        <v>5</v>
      </c>
      <c r="C8" s="33"/>
      <c r="D8" s="34" t="s">
        <v>27</v>
      </c>
      <c r="E8" s="34"/>
      <c r="F8" s="34"/>
      <c r="G8" s="34"/>
      <c r="H8" s="34"/>
      <c r="I8" s="34"/>
      <c r="J8" s="34"/>
    </row>
    <row r="9" spans="2:13" ht="20.399999999999999" customHeight="1" x14ac:dyDescent="0.3">
      <c r="B9" s="33" t="s">
        <v>4</v>
      </c>
      <c r="C9" s="33"/>
      <c r="D9" s="33"/>
      <c r="E9" s="33"/>
      <c r="F9" s="33"/>
      <c r="G9" s="33"/>
      <c r="H9" s="33"/>
      <c r="I9" s="33"/>
      <c r="J9" s="33"/>
    </row>
    <row r="10" spans="2:13" ht="30" x14ac:dyDescent="0.3">
      <c r="B10" s="2" t="s">
        <v>11</v>
      </c>
      <c r="C10" s="45" t="s">
        <v>6</v>
      </c>
      <c r="D10" s="45"/>
      <c r="E10" s="45"/>
      <c r="F10" s="3" t="s">
        <v>7</v>
      </c>
      <c r="G10" s="14" t="s">
        <v>9</v>
      </c>
      <c r="H10" s="14" t="s">
        <v>96</v>
      </c>
      <c r="I10" s="23" t="s">
        <v>97</v>
      </c>
      <c r="J10" s="12" t="s">
        <v>10</v>
      </c>
    </row>
    <row r="11" spans="2:13" ht="15.5" x14ac:dyDescent="0.3">
      <c r="B11" s="4">
        <v>1</v>
      </c>
      <c r="C11" s="44" t="s">
        <v>53</v>
      </c>
      <c r="D11" s="44"/>
      <c r="E11" s="44"/>
      <c r="F11" s="5">
        <v>1</v>
      </c>
      <c r="G11" s="27" t="s">
        <v>94</v>
      </c>
      <c r="H11" s="28">
        <v>1217</v>
      </c>
      <c r="I11" s="29">
        <v>370</v>
      </c>
      <c r="J11" s="19">
        <f>H11*I11</f>
        <v>450290</v>
      </c>
      <c r="L11" s="1">
        <f>90710*18%+90710</f>
        <v>107037.8</v>
      </c>
      <c r="M11" s="20">
        <f>L11*104</f>
        <v>11131931.200000001</v>
      </c>
    </row>
    <row r="12" spans="2:13" ht="15.5" x14ac:dyDescent="0.3">
      <c r="B12" s="4">
        <v>2</v>
      </c>
      <c r="C12" s="44" t="s">
        <v>54</v>
      </c>
      <c r="D12" s="44" t="s">
        <v>54</v>
      </c>
      <c r="E12" s="44" t="s">
        <v>54</v>
      </c>
      <c r="F12" s="5">
        <v>1</v>
      </c>
      <c r="G12" s="30" t="s">
        <v>94</v>
      </c>
      <c r="H12" s="30">
        <v>371</v>
      </c>
      <c r="I12" s="29">
        <v>490</v>
      </c>
      <c r="J12" s="19">
        <f t="shared" ref="J12:J51" si="0">H12*I12</f>
        <v>181790</v>
      </c>
      <c r="L12" s="1">
        <f>93251*18%+93251</f>
        <v>110036.18</v>
      </c>
      <c r="M12" s="20">
        <f>L12*52</f>
        <v>5721881.3599999994</v>
      </c>
    </row>
    <row r="13" spans="2:13" ht="15.5" x14ac:dyDescent="0.3">
      <c r="B13" s="4">
        <v>3</v>
      </c>
      <c r="C13" s="44" t="s">
        <v>99</v>
      </c>
      <c r="D13" s="44" t="s">
        <v>55</v>
      </c>
      <c r="E13" s="44" t="s">
        <v>55</v>
      </c>
      <c r="F13" s="5">
        <v>1</v>
      </c>
      <c r="G13" s="30" t="s">
        <v>94</v>
      </c>
      <c r="H13" s="30">
        <v>18</v>
      </c>
      <c r="I13" s="29">
        <v>370</v>
      </c>
      <c r="J13" s="19">
        <f t="shared" si="0"/>
        <v>6660</v>
      </c>
      <c r="M13" s="20"/>
    </row>
    <row r="14" spans="2:13" ht="15.5" x14ac:dyDescent="0.3">
      <c r="B14" s="4">
        <v>4</v>
      </c>
      <c r="C14" s="44" t="s">
        <v>100</v>
      </c>
      <c r="D14" s="44" t="s">
        <v>56</v>
      </c>
      <c r="E14" s="44" t="s">
        <v>56</v>
      </c>
      <c r="F14" s="5">
        <v>1</v>
      </c>
      <c r="G14" s="30" t="s">
        <v>94</v>
      </c>
      <c r="H14" s="30">
        <v>8</v>
      </c>
      <c r="I14" s="29">
        <v>250</v>
      </c>
      <c r="J14" s="19">
        <f t="shared" si="0"/>
        <v>2000</v>
      </c>
      <c r="M14" s="20"/>
    </row>
    <row r="15" spans="2:13" ht="15.5" x14ac:dyDescent="0.3">
      <c r="B15" s="4">
        <v>5</v>
      </c>
      <c r="C15" s="44" t="s">
        <v>57</v>
      </c>
      <c r="D15" s="44" t="s">
        <v>57</v>
      </c>
      <c r="E15" s="44" t="s">
        <v>57</v>
      </c>
      <c r="F15" s="5">
        <v>1</v>
      </c>
      <c r="G15" s="30" t="s">
        <v>94</v>
      </c>
      <c r="H15" s="31">
        <v>65</v>
      </c>
      <c r="I15" s="32">
        <v>350</v>
      </c>
      <c r="J15" s="19">
        <f t="shared" si="0"/>
        <v>22750</v>
      </c>
      <c r="M15" s="20"/>
    </row>
    <row r="16" spans="2:13" ht="15.5" x14ac:dyDescent="0.3">
      <c r="B16" s="4">
        <v>6</v>
      </c>
      <c r="C16" s="44" t="s">
        <v>58</v>
      </c>
      <c r="D16" s="44" t="s">
        <v>58</v>
      </c>
      <c r="E16" s="44" t="s">
        <v>58</v>
      </c>
      <c r="F16" s="5">
        <v>1</v>
      </c>
      <c r="G16" s="30" t="s">
        <v>94</v>
      </c>
      <c r="H16" s="31">
        <v>49</v>
      </c>
      <c r="I16" s="32">
        <v>550</v>
      </c>
      <c r="J16" s="19">
        <f t="shared" si="0"/>
        <v>26950</v>
      </c>
      <c r="M16" s="20"/>
    </row>
    <row r="17" spans="2:13" ht="15.5" x14ac:dyDescent="0.3">
      <c r="B17" s="4">
        <v>7</v>
      </c>
      <c r="C17" s="44" t="s">
        <v>59</v>
      </c>
      <c r="D17" s="44" t="s">
        <v>59</v>
      </c>
      <c r="E17" s="44" t="s">
        <v>59</v>
      </c>
      <c r="F17" s="5">
        <v>1</v>
      </c>
      <c r="G17" s="30" t="s">
        <v>94</v>
      </c>
      <c r="H17" s="30">
        <v>14</v>
      </c>
      <c r="I17" s="29">
        <v>700</v>
      </c>
      <c r="J17" s="19">
        <f t="shared" si="0"/>
        <v>9800</v>
      </c>
    </row>
    <row r="18" spans="2:13" ht="15.5" x14ac:dyDescent="0.3">
      <c r="B18" s="4">
        <v>8</v>
      </c>
      <c r="C18" s="44" t="s">
        <v>60</v>
      </c>
      <c r="D18" s="44" t="s">
        <v>60</v>
      </c>
      <c r="E18" s="44" t="s">
        <v>60</v>
      </c>
      <c r="F18" s="5">
        <v>1</v>
      </c>
      <c r="G18" s="30" t="s">
        <v>95</v>
      </c>
      <c r="H18" s="30">
        <v>842</v>
      </c>
      <c r="I18" s="29">
        <v>87</v>
      </c>
      <c r="J18" s="19">
        <f t="shared" si="0"/>
        <v>73254</v>
      </c>
    </row>
    <row r="19" spans="2:13" ht="15.5" x14ac:dyDescent="0.3">
      <c r="B19" s="4">
        <v>9</v>
      </c>
      <c r="C19" s="44" t="s">
        <v>61</v>
      </c>
      <c r="D19" s="44" t="s">
        <v>61</v>
      </c>
      <c r="E19" s="44" t="s">
        <v>61</v>
      </c>
      <c r="F19" s="5">
        <v>1</v>
      </c>
      <c r="G19" s="30" t="s">
        <v>95</v>
      </c>
      <c r="H19" s="30">
        <v>275</v>
      </c>
      <c r="I19" s="29">
        <v>115</v>
      </c>
      <c r="J19" s="19">
        <f t="shared" si="0"/>
        <v>31625</v>
      </c>
    </row>
    <row r="20" spans="2:13" ht="15.5" x14ac:dyDescent="0.3">
      <c r="B20" s="4">
        <v>10</v>
      </c>
      <c r="C20" s="44" t="s">
        <v>62</v>
      </c>
      <c r="D20" s="44" t="s">
        <v>62</v>
      </c>
      <c r="E20" s="44" t="s">
        <v>62</v>
      </c>
      <c r="F20" s="5">
        <v>1</v>
      </c>
      <c r="G20" s="30" t="s">
        <v>95</v>
      </c>
      <c r="H20" s="30">
        <v>297</v>
      </c>
      <c r="I20" s="29">
        <v>375</v>
      </c>
      <c r="J20" s="19">
        <f t="shared" si="0"/>
        <v>111375</v>
      </c>
    </row>
    <row r="21" spans="2:13" ht="15.5" x14ac:dyDescent="0.3">
      <c r="B21" s="4">
        <v>11</v>
      </c>
      <c r="C21" s="44" t="s">
        <v>63</v>
      </c>
      <c r="D21" s="44" t="s">
        <v>63</v>
      </c>
      <c r="E21" s="44" t="s">
        <v>63</v>
      </c>
      <c r="F21" s="5">
        <v>1</v>
      </c>
      <c r="G21" s="30" t="s">
        <v>95</v>
      </c>
      <c r="H21" s="30">
        <v>1801</v>
      </c>
      <c r="I21" s="29">
        <v>115</v>
      </c>
      <c r="J21" s="19">
        <f t="shared" si="0"/>
        <v>207115</v>
      </c>
    </row>
    <row r="22" spans="2:13" ht="15.5" x14ac:dyDescent="0.3">
      <c r="B22" s="4">
        <v>12</v>
      </c>
      <c r="C22" s="44" t="s">
        <v>64</v>
      </c>
      <c r="D22" s="44" t="s">
        <v>64</v>
      </c>
      <c r="E22" s="44" t="s">
        <v>64</v>
      </c>
      <c r="F22" s="5">
        <v>1</v>
      </c>
      <c r="G22" s="30" t="s">
        <v>95</v>
      </c>
      <c r="H22" s="30">
        <v>845</v>
      </c>
      <c r="I22" s="29">
        <v>125</v>
      </c>
      <c r="J22" s="19">
        <f t="shared" si="0"/>
        <v>105625</v>
      </c>
    </row>
    <row r="23" spans="2:13" ht="15.5" x14ac:dyDescent="0.3">
      <c r="B23" s="4">
        <v>13</v>
      </c>
      <c r="C23" s="44" t="s">
        <v>65</v>
      </c>
      <c r="D23" s="44" t="s">
        <v>65</v>
      </c>
      <c r="E23" s="44" t="s">
        <v>65</v>
      </c>
      <c r="F23" s="5">
        <v>1</v>
      </c>
      <c r="G23" s="30" t="s">
        <v>95</v>
      </c>
      <c r="H23" s="30">
        <v>499</v>
      </c>
      <c r="I23" s="29">
        <v>130</v>
      </c>
      <c r="J23" s="19">
        <f t="shared" si="0"/>
        <v>64870</v>
      </c>
      <c r="L23" s="1">
        <f>90710*18%+90710</f>
        <v>107037.8</v>
      </c>
      <c r="M23" s="20">
        <f>L23*104</f>
        <v>11131931.200000001</v>
      </c>
    </row>
    <row r="24" spans="2:13" ht="15.5" x14ac:dyDescent="0.3">
      <c r="B24" s="4">
        <v>14</v>
      </c>
      <c r="C24" s="44" t="s">
        <v>66</v>
      </c>
      <c r="D24" s="44" t="s">
        <v>66</v>
      </c>
      <c r="E24" s="44" t="s">
        <v>66</v>
      </c>
      <c r="F24" s="5">
        <v>1</v>
      </c>
      <c r="G24" s="30" t="s">
        <v>95</v>
      </c>
      <c r="H24" s="30">
        <v>3571</v>
      </c>
      <c r="I24" s="29">
        <v>60</v>
      </c>
      <c r="J24" s="19">
        <f t="shared" si="0"/>
        <v>214260</v>
      </c>
      <c r="L24" s="1">
        <f>93251*18%+93251</f>
        <v>110036.18</v>
      </c>
      <c r="M24" s="20">
        <f>L24*52</f>
        <v>5721881.3599999994</v>
      </c>
    </row>
    <row r="25" spans="2:13" ht="15.5" x14ac:dyDescent="0.3">
      <c r="B25" s="4">
        <v>15</v>
      </c>
      <c r="C25" s="44" t="s">
        <v>101</v>
      </c>
      <c r="D25" s="44" t="s">
        <v>67</v>
      </c>
      <c r="E25" s="44" t="s">
        <v>67</v>
      </c>
      <c r="F25" s="5">
        <v>1</v>
      </c>
      <c r="G25" s="30" t="s">
        <v>95</v>
      </c>
      <c r="H25" s="30">
        <v>2593</v>
      </c>
      <c r="I25" s="29">
        <v>60</v>
      </c>
      <c r="J25" s="19">
        <f t="shared" si="0"/>
        <v>155580</v>
      </c>
      <c r="M25" s="20"/>
    </row>
    <row r="26" spans="2:13" ht="15.5" x14ac:dyDescent="0.3">
      <c r="B26" s="4">
        <v>16</v>
      </c>
      <c r="C26" s="44" t="s">
        <v>102</v>
      </c>
      <c r="D26" s="44" t="s">
        <v>68</v>
      </c>
      <c r="E26" s="44" t="s">
        <v>68</v>
      </c>
      <c r="F26" s="5">
        <v>1</v>
      </c>
      <c r="G26" s="30" t="s">
        <v>95</v>
      </c>
      <c r="H26" s="30">
        <v>1035</v>
      </c>
      <c r="I26" s="29">
        <v>100</v>
      </c>
      <c r="J26" s="19">
        <f t="shared" si="0"/>
        <v>103500</v>
      </c>
      <c r="M26" s="20"/>
    </row>
    <row r="27" spans="2:13" ht="15.5" x14ac:dyDescent="0.3">
      <c r="B27" s="4">
        <v>17</v>
      </c>
      <c r="C27" s="44" t="s">
        <v>104</v>
      </c>
      <c r="D27" s="44" t="s">
        <v>69</v>
      </c>
      <c r="E27" s="44" t="s">
        <v>69</v>
      </c>
      <c r="F27" s="5">
        <v>1</v>
      </c>
      <c r="G27" s="30" t="s">
        <v>95</v>
      </c>
      <c r="H27" s="30">
        <v>515</v>
      </c>
      <c r="I27" s="29">
        <v>60</v>
      </c>
      <c r="J27" s="19">
        <f t="shared" si="0"/>
        <v>30900</v>
      </c>
      <c r="M27" s="20"/>
    </row>
    <row r="28" spans="2:13" ht="15.5" x14ac:dyDescent="0.3">
      <c r="B28" s="4">
        <v>18</v>
      </c>
      <c r="C28" s="44" t="s">
        <v>103</v>
      </c>
      <c r="D28" s="44" t="s">
        <v>70</v>
      </c>
      <c r="E28" s="44" t="s">
        <v>70</v>
      </c>
      <c r="F28" s="5">
        <v>1</v>
      </c>
      <c r="G28" s="30" t="s">
        <v>95</v>
      </c>
      <c r="H28" s="30">
        <v>492</v>
      </c>
      <c r="I28" s="29">
        <v>40</v>
      </c>
      <c r="J28" s="19">
        <f t="shared" si="0"/>
        <v>19680</v>
      </c>
      <c r="L28" s="1">
        <f>90710*18%+90710</f>
        <v>107037.8</v>
      </c>
      <c r="M28" s="20">
        <f>L28*104</f>
        <v>11131931.200000001</v>
      </c>
    </row>
    <row r="29" spans="2:13" ht="15.5" x14ac:dyDescent="0.3">
      <c r="B29" s="4">
        <v>19</v>
      </c>
      <c r="C29" s="44" t="s">
        <v>71</v>
      </c>
      <c r="D29" s="44" t="s">
        <v>71</v>
      </c>
      <c r="E29" s="44" t="s">
        <v>71</v>
      </c>
      <c r="F29" s="5">
        <v>1</v>
      </c>
      <c r="G29" s="30" t="s">
        <v>94</v>
      </c>
      <c r="H29" s="30">
        <v>64</v>
      </c>
      <c r="I29" s="29">
        <v>550</v>
      </c>
      <c r="J29" s="19">
        <f t="shared" si="0"/>
        <v>35200</v>
      </c>
      <c r="L29" s="1">
        <f>93251*18%+93251</f>
        <v>110036.18</v>
      </c>
      <c r="M29" s="20">
        <f>L29*52</f>
        <v>5721881.3599999994</v>
      </c>
    </row>
    <row r="30" spans="2:13" ht="15.5" x14ac:dyDescent="0.3">
      <c r="B30" s="4">
        <v>20</v>
      </c>
      <c r="C30" s="44" t="s">
        <v>72</v>
      </c>
      <c r="D30" s="44" t="s">
        <v>72</v>
      </c>
      <c r="E30" s="44" t="s">
        <v>72</v>
      </c>
      <c r="F30" s="5">
        <v>1</v>
      </c>
      <c r="G30" s="30" t="s">
        <v>94</v>
      </c>
      <c r="H30" s="30">
        <v>18</v>
      </c>
      <c r="I30" s="29">
        <v>1800</v>
      </c>
      <c r="J30" s="19">
        <f t="shared" si="0"/>
        <v>32400</v>
      </c>
      <c r="M30" s="20"/>
    </row>
    <row r="31" spans="2:13" ht="15.5" x14ac:dyDescent="0.3">
      <c r="B31" s="4">
        <v>21</v>
      </c>
      <c r="C31" s="44" t="s">
        <v>73</v>
      </c>
      <c r="D31" s="44" t="s">
        <v>73</v>
      </c>
      <c r="E31" s="44" t="s">
        <v>73</v>
      </c>
      <c r="F31" s="5">
        <v>1</v>
      </c>
      <c r="G31" s="30" t="s">
        <v>94</v>
      </c>
      <c r="H31" s="30">
        <v>1</v>
      </c>
      <c r="I31" s="29">
        <v>11900</v>
      </c>
      <c r="J31" s="19">
        <f t="shared" si="0"/>
        <v>11900</v>
      </c>
      <c r="M31" s="20"/>
    </row>
    <row r="32" spans="2:13" ht="15.5" x14ac:dyDescent="0.3">
      <c r="B32" s="4">
        <v>22</v>
      </c>
      <c r="C32" s="44" t="s">
        <v>74</v>
      </c>
      <c r="D32" s="44" t="s">
        <v>74</v>
      </c>
      <c r="E32" s="44" t="s">
        <v>74</v>
      </c>
      <c r="F32" s="5">
        <v>1</v>
      </c>
      <c r="G32" s="30" t="s">
        <v>94</v>
      </c>
      <c r="H32" s="30">
        <v>1</v>
      </c>
      <c r="I32" s="29">
        <v>18000</v>
      </c>
      <c r="J32" s="19">
        <f t="shared" si="0"/>
        <v>18000</v>
      </c>
      <c r="M32" s="20"/>
    </row>
    <row r="33" spans="2:13" ht="15.5" x14ac:dyDescent="0.3">
      <c r="B33" s="4">
        <v>23</v>
      </c>
      <c r="C33" s="44" t="s">
        <v>75</v>
      </c>
      <c r="D33" s="44" t="s">
        <v>75</v>
      </c>
      <c r="E33" s="44" t="s">
        <v>75</v>
      </c>
      <c r="F33" s="5">
        <v>1</v>
      </c>
      <c r="G33" s="30" t="s">
        <v>94</v>
      </c>
      <c r="H33" s="30">
        <v>1</v>
      </c>
      <c r="I33" s="29">
        <v>48000</v>
      </c>
      <c r="J33" s="19">
        <f t="shared" si="0"/>
        <v>48000</v>
      </c>
      <c r="M33" s="20"/>
    </row>
    <row r="34" spans="2:13" ht="15.5" x14ac:dyDescent="0.3">
      <c r="B34" s="4">
        <v>24</v>
      </c>
      <c r="C34" s="44" t="s">
        <v>76</v>
      </c>
      <c r="D34" s="44" t="s">
        <v>76</v>
      </c>
      <c r="E34" s="44" t="s">
        <v>76</v>
      </c>
      <c r="F34" s="5">
        <v>1</v>
      </c>
      <c r="G34" s="30" t="s">
        <v>94</v>
      </c>
      <c r="H34" s="30">
        <v>5</v>
      </c>
      <c r="I34" s="29">
        <v>65000</v>
      </c>
      <c r="J34" s="19">
        <f t="shared" si="0"/>
        <v>325000</v>
      </c>
    </row>
    <row r="35" spans="2:13" ht="15.5" x14ac:dyDescent="0.3">
      <c r="B35" s="4">
        <v>25</v>
      </c>
      <c r="C35" s="44" t="s">
        <v>77</v>
      </c>
      <c r="D35" s="44" t="s">
        <v>77</v>
      </c>
      <c r="E35" s="44" t="s">
        <v>77</v>
      </c>
      <c r="F35" s="5">
        <v>1</v>
      </c>
      <c r="G35" s="30" t="s">
        <v>94</v>
      </c>
      <c r="H35" s="30">
        <v>1</v>
      </c>
      <c r="I35" s="29">
        <v>3000</v>
      </c>
      <c r="J35" s="19">
        <f t="shared" si="0"/>
        <v>3000</v>
      </c>
    </row>
    <row r="36" spans="2:13" ht="15.5" x14ac:dyDescent="0.3">
      <c r="B36" s="4">
        <v>26</v>
      </c>
      <c r="C36" s="44" t="s">
        <v>78</v>
      </c>
      <c r="D36" s="44" t="s">
        <v>78</v>
      </c>
      <c r="E36" s="44" t="s">
        <v>78</v>
      </c>
      <c r="F36" s="5">
        <v>1</v>
      </c>
      <c r="G36" s="30" t="s">
        <v>94</v>
      </c>
      <c r="H36" s="30">
        <v>18</v>
      </c>
      <c r="I36" s="29">
        <v>2000</v>
      </c>
      <c r="J36" s="19">
        <f t="shared" si="0"/>
        <v>36000</v>
      </c>
    </row>
    <row r="37" spans="2:13" ht="15.5" x14ac:dyDescent="0.3">
      <c r="B37" s="4">
        <v>27</v>
      </c>
      <c r="C37" s="44" t="s">
        <v>79</v>
      </c>
      <c r="D37" s="44" t="s">
        <v>79</v>
      </c>
      <c r="E37" s="44" t="s">
        <v>79</v>
      </c>
      <c r="F37" s="5">
        <v>1</v>
      </c>
      <c r="G37" s="30" t="s">
        <v>94</v>
      </c>
      <c r="H37" s="30">
        <v>13</v>
      </c>
      <c r="I37" s="29">
        <v>300</v>
      </c>
      <c r="J37" s="19">
        <f t="shared" si="0"/>
        <v>3900</v>
      </c>
    </row>
    <row r="38" spans="2:13" ht="15.5" x14ac:dyDescent="0.3">
      <c r="B38" s="4">
        <v>28</v>
      </c>
      <c r="C38" s="44" t="s">
        <v>80</v>
      </c>
      <c r="D38" s="44" t="s">
        <v>80</v>
      </c>
      <c r="E38" s="44" t="s">
        <v>80</v>
      </c>
      <c r="F38" s="5">
        <v>1</v>
      </c>
      <c r="G38" s="30" t="s">
        <v>94</v>
      </c>
      <c r="H38" s="30">
        <v>5</v>
      </c>
      <c r="I38" s="29">
        <v>8000</v>
      </c>
      <c r="J38" s="19">
        <f t="shared" si="0"/>
        <v>40000</v>
      </c>
    </row>
    <row r="39" spans="2:13" ht="15.5" x14ac:dyDescent="0.3">
      <c r="B39" s="4">
        <v>29</v>
      </c>
      <c r="C39" s="44" t="s">
        <v>105</v>
      </c>
      <c r="D39" s="44" t="s">
        <v>81</v>
      </c>
      <c r="E39" s="44" t="s">
        <v>81</v>
      </c>
      <c r="F39" s="5">
        <v>1</v>
      </c>
      <c r="G39" s="30" t="s">
        <v>94</v>
      </c>
      <c r="H39" s="30">
        <v>1</v>
      </c>
      <c r="I39" s="29">
        <v>61000</v>
      </c>
      <c r="J39" s="19">
        <f t="shared" si="0"/>
        <v>61000</v>
      </c>
    </row>
    <row r="40" spans="2:13" ht="15.5" x14ac:dyDescent="0.3">
      <c r="B40" s="4">
        <v>30</v>
      </c>
      <c r="C40" s="44" t="s">
        <v>82</v>
      </c>
      <c r="D40" s="44" t="s">
        <v>82</v>
      </c>
      <c r="E40" s="44" t="s">
        <v>82</v>
      </c>
      <c r="F40" s="5">
        <v>1</v>
      </c>
      <c r="G40" s="30" t="s">
        <v>94</v>
      </c>
      <c r="H40" s="30">
        <v>1</v>
      </c>
      <c r="I40" s="29">
        <v>16000</v>
      </c>
      <c r="J40" s="19">
        <f t="shared" si="0"/>
        <v>16000</v>
      </c>
      <c r="L40" s="1">
        <f>90710*18%+90710</f>
        <v>107037.8</v>
      </c>
      <c r="M40" s="20">
        <f>L40*104</f>
        <v>11131931.200000001</v>
      </c>
    </row>
    <row r="41" spans="2:13" ht="15.5" x14ac:dyDescent="0.3">
      <c r="B41" s="4">
        <v>31</v>
      </c>
      <c r="C41" s="44" t="s">
        <v>83</v>
      </c>
      <c r="D41" s="44" t="s">
        <v>83</v>
      </c>
      <c r="E41" s="44" t="s">
        <v>83</v>
      </c>
      <c r="F41" s="5">
        <v>1</v>
      </c>
      <c r="G41" s="30" t="s">
        <v>94</v>
      </c>
      <c r="H41" s="30">
        <v>10</v>
      </c>
      <c r="I41" s="29">
        <v>17000</v>
      </c>
      <c r="J41" s="19">
        <f t="shared" si="0"/>
        <v>170000</v>
      </c>
      <c r="L41" s="1">
        <f>93251*18%+93251</f>
        <v>110036.18</v>
      </c>
      <c r="M41" s="20">
        <f>L41*52</f>
        <v>5721881.3599999994</v>
      </c>
    </row>
    <row r="42" spans="2:13" ht="15.5" x14ac:dyDescent="0.3">
      <c r="B42" s="4">
        <v>32</v>
      </c>
      <c r="C42" s="44" t="s">
        <v>106</v>
      </c>
      <c r="D42" s="44" t="s">
        <v>84</v>
      </c>
      <c r="E42" s="44" t="s">
        <v>84</v>
      </c>
      <c r="F42" s="5">
        <v>1</v>
      </c>
      <c r="G42" s="27" t="s">
        <v>94</v>
      </c>
      <c r="H42" s="28">
        <v>1535</v>
      </c>
      <c r="I42" s="29">
        <v>50</v>
      </c>
      <c r="J42" s="19">
        <f t="shared" si="0"/>
        <v>76750</v>
      </c>
      <c r="M42" s="20"/>
    </row>
    <row r="43" spans="2:13" ht="15.5" x14ac:dyDescent="0.3">
      <c r="B43" s="4">
        <v>33</v>
      </c>
      <c r="C43" s="44" t="s">
        <v>107</v>
      </c>
      <c r="D43" s="44" t="s">
        <v>85</v>
      </c>
      <c r="E43" s="44" t="s">
        <v>85</v>
      </c>
      <c r="F43" s="5">
        <v>1</v>
      </c>
      <c r="G43" s="30" t="s">
        <v>94</v>
      </c>
      <c r="H43" s="30">
        <v>18</v>
      </c>
      <c r="I43" s="29">
        <v>200</v>
      </c>
      <c r="J43" s="19">
        <f t="shared" si="0"/>
        <v>3600</v>
      </c>
      <c r="M43" s="20"/>
    </row>
    <row r="44" spans="2:13" ht="15.5" x14ac:dyDescent="0.3">
      <c r="B44" s="4">
        <v>34</v>
      </c>
      <c r="C44" s="44" t="s">
        <v>108</v>
      </c>
      <c r="D44" s="44" t="s">
        <v>86</v>
      </c>
      <c r="E44" s="44" t="s">
        <v>86</v>
      </c>
      <c r="F44" s="5">
        <v>1</v>
      </c>
      <c r="G44" s="30" t="s">
        <v>95</v>
      </c>
      <c r="H44" s="30">
        <v>253</v>
      </c>
      <c r="I44" s="29">
        <v>80</v>
      </c>
      <c r="J44" s="19">
        <f t="shared" si="0"/>
        <v>20240</v>
      </c>
      <c r="M44" s="20"/>
    </row>
    <row r="45" spans="2:13" ht="15.5" x14ac:dyDescent="0.3">
      <c r="B45" s="4">
        <v>35</v>
      </c>
      <c r="C45" s="44" t="s">
        <v>109</v>
      </c>
      <c r="D45" s="44" t="s">
        <v>87</v>
      </c>
      <c r="E45" s="44" t="s">
        <v>87</v>
      </c>
      <c r="F45" s="5">
        <v>1</v>
      </c>
      <c r="G45" s="30" t="s">
        <v>95</v>
      </c>
      <c r="H45" s="30">
        <v>143</v>
      </c>
      <c r="I45" s="29">
        <v>90</v>
      </c>
      <c r="J45" s="19">
        <f t="shared" si="0"/>
        <v>12870</v>
      </c>
      <c r="M45" s="20"/>
    </row>
    <row r="46" spans="2:13" ht="15.5" x14ac:dyDescent="0.3">
      <c r="B46" s="4">
        <v>36</v>
      </c>
      <c r="C46" s="44" t="s">
        <v>110</v>
      </c>
      <c r="D46" s="44" t="s">
        <v>88</v>
      </c>
      <c r="E46" s="44" t="s">
        <v>88</v>
      </c>
      <c r="F46" s="5">
        <v>1</v>
      </c>
      <c r="G46" s="30" t="s">
        <v>95</v>
      </c>
      <c r="H46" s="31">
        <v>300</v>
      </c>
      <c r="I46" s="32">
        <v>90</v>
      </c>
      <c r="J46" s="19">
        <f t="shared" si="0"/>
        <v>27000</v>
      </c>
    </row>
    <row r="47" spans="2:13" ht="15.5" x14ac:dyDescent="0.3">
      <c r="B47" s="4">
        <v>37</v>
      </c>
      <c r="C47" s="44" t="s">
        <v>111</v>
      </c>
      <c r="D47" s="44" t="s">
        <v>89</v>
      </c>
      <c r="E47" s="44" t="s">
        <v>89</v>
      </c>
      <c r="F47" s="5">
        <v>1</v>
      </c>
      <c r="G47" s="30" t="s">
        <v>94</v>
      </c>
      <c r="H47" s="31">
        <v>5</v>
      </c>
      <c r="I47" s="32">
        <v>1900</v>
      </c>
      <c r="J47" s="19">
        <f t="shared" si="0"/>
        <v>9500</v>
      </c>
    </row>
    <row r="48" spans="2:13" ht="15.5" x14ac:dyDescent="0.3">
      <c r="B48" s="4">
        <v>38</v>
      </c>
      <c r="C48" s="44" t="s">
        <v>90</v>
      </c>
      <c r="D48" s="44" t="s">
        <v>90</v>
      </c>
      <c r="E48" s="44" t="s">
        <v>90</v>
      </c>
      <c r="F48" s="5">
        <v>1</v>
      </c>
      <c r="G48" s="30" t="s">
        <v>94</v>
      </c>
      <c r="H48" s="30">
        <v>4</v>
      </c>
      <c r="I48" s="29">
        <v>4200</v>
      </c>
      <c r="J48" s="19">
        <f t="shared" si="0"/>
        <v>16800</v>
      </c>
    </row>
    <row r="49" spans="2:12" ht="15.5" x14ac:dyDescent="0.3">
      <c r="B49" s="4">
        <v>39</v>
      </c>
      <c r="C49" s="44" t="s">
        <v>91</v>
      </c>
      <c r="D49" s="44" t="s">
        <v>91</v>
      </c>
      <c r="E49" s="44" t="s">
        <v>91</v>
      </c>
      <c r="F49" s="5">
        <v>1</v>
      </c>
      <c r="G49" s="30" t="s">
        <v>94</v>
      </c>
      <c r="H49" s="30">
        <v>7</v>
      </c>
      <c r="I49" s="29">
        <v>2245</v>
      </c>
      <c r="J49" s="19">
        <f t="shared" si="0"/>
        <v>15715</v>
      </c>
    </row>
    <row r="50" spans="2:12" ht="15.5" x14ac:dyDescent="0.3">
      <c r="B50" s="4">
        <v>40</v>
      </c>
      <c r="C50" s="44" t="s">
        <v>92</v>
      </c>
      <c r="D50" s="44" t="s">
        <v>92</v>
      </c>
      <c r="E50" s="44" t="s">
        <v>92</v>
      </c>
      <c r="F50" s="5">
        <v>1</v>
      </c>
      <c r="G50" s="30" t="s">
        <v>94</v>
      </c>
      <c r="H50" s="30">
        <v>8</v>
      </c>
      <c r="I50" s="29">
        <v>1200</v>
      </c>
      <c r="J50" s="19">
        <f t="shared" si="0"/>
        <v>9600</v>
      </c>
    </row>
    <row r="51" spans="2:12" ht="15.5" x14ac:dyDescent="0.3">
      <c r="B51" s="4">
        <v>41</v>
      </c>
      <c r="C51" s="44" t="s">
        <v>93</v>
      </c>
      <c r="D51" s="44" t="s">
        <v>93</v>
      </c>
      <c r="E51" s="44" t="s">
        <v>93</v>
      </c>
      <c r="F51" s="5">
        <v>1</v>
      </c>
      <c r="G51" s="30" t="s">
        <v>94</v>
      </c>
      <c r="H51" s="30">
        <v>60</v>
      </c>
      <c r="I51" s="29">
        <v>550</v>
      </c>
      <c r="J51" s="19">
        <f t="shared" si="0"/>
        <v>33000</v>
      </c>
    </row>
    <row r="52" spans="2:12" ht="17.399999999999999" customHeight="1" x14ac:dyDescent="0.35">
      <c r="B52" s="13"/>
      <c r="C52" s="47" t="s">
        <v>18</v>
      </c>
      <c r="D52" s="47"/>
      <c r="E52" s="47"/>
      <c r="F52" s="47"/>
      <c r="G52" s="47"/>
      <c r="H52" s="47"/>
      <c r="I52" s="47"/>
      <c r="J52" s="18">
        <f>SUM(J11:J51)</f>
        <v>2843499</v>
      </c>
    </row>
    <row r="53" spans="2:12" ht="17.399999999999999" customHeight="1" x14ac:dyDescent="0.35">
      <c r="B53" s="13"/>
      <c r="C53" s="46" t="s">
        <v>29</v>
      </c>
      <c r="D53" s="46"/>
      <c r="E53" s="46"/>
      <c r="F53" s="46"/>
      <c r="G53" s="46"/>
      <c r="H53" s="46"/>
      <c r="I53" s="46"/>
      <c r="J53" s="18">
        <f>J52*9%</f>
        <v>255914.91</v>
      </c>
    </row>
    <row r="54" spans="2:12" ht="17.399999999999999" customHeight="1" x14ac:dyDescent="0.35">
      <c r="B54" s="13"/>
      <c r="C54" s="46" t="s">
        <v>30</v>
      </c>
      <c r="D54" s="46"/>
      <c r="E54" s="46"/>
      <c r="F54" s="46"/>
      <c r="G54" s="46"/>
      <c r="H54" s="46"/>
      <c r="I54" s="46"/>
      <c r="J54" s="18">
        <f>J52*9%</f>
        <v>255914.91</v>
      </c>
    </row>
    <row r="55" spans="2:12" ht="17.399999999999999" customHeight="1" x14ac:dyDescent="0.35">
      <c r="B55" s="13"/>
      <c r="C55" s="46"/>
      <c r="D55" s="46"/>
      <c r="E55" s="46"/>
      <c r="F55" s="46"/>
      <c r="G55" s="46"/>
      <c r="H55" s="46"/>
      <c r="I55" s="46"/>
      <c r="J55" s="6"/>
    </row>
    <row r="56" spans="2:12" ht="17.399999999999999" customHeight="1" x14ac:dyDescent="0.35">
      <c r="B56" s="13"/>
      <c r="C56" s="12"/>
      <c r="D56" s="12"/>
      <c r="E56" s="12"/>
      <c r="F56" s="12"/>
      <c r="G56" s="12"/>
      <c r="H56" s="14"/>
      <c r="I56" s="24"/>
      <c r="J56" s="18">
        <f>J52+J54+J55+J53</f>
        <v>3355328.8200000003</v>
      </c>
    </row>
    <row r="57" spans="2:12" ht="15.5" x14ac:dyDescent="0.35">
      <c r="B57" s="7"/>
      <c r="C57" s="48" t="s">
        <v>98</v>
      </c>
      <c r="D57" s="48"/>
      <c r="E57" s="48"/>
      <c r="F57" s="48"/>
      <c r="G57" s="48"/>
      <c r="H57" s="48"/>
      <c r="I57" s="48"/>
      <c r="J57" s="48"/>
    </row>
    <row r="58" spans="2:12" ht="15.5" x14ac:dyDescent="0.35">
      <c r="B58" s="13"/>
      <c r="C58" s="37" t="s">
        <v>12</v>
      </c>
      <c r="D58" s="37"/>
      <c r="E58" s="37"/>
      <c r="F58" s="7"/>
      <c r="G58" s="7"/>
      <c r="H58" s="13"/>
      <c r="I58" s="25"/>
      <c r="J58" s="8">
        <v>0</v>
      </c>
    </row>
    <row r="59" spans="2:12" ht="15.5" x14ac:dyDescent="0.35">
      <c r="B59" s="13"/>
      <c r="C59" s="37" t="s">
        <v>20</v>
      </c>
      <c r="D59" s="37"/>
      <c r="E59" s="37"/>
      <c r="F59" s="7"/>
      <c r="G59" s="7"/>
      <c r="H59" s="13"/>
      <c r="I59" s="25"/>
      <c r="J59" s="8">
        <v>0</v>
      </c>
    </row>
    <row r="60" spans="2:12" ht="15.5" x14ac:dyDescent="0.35">
      <c r="B60" s="13"/>
      <c r="C60" s="37" t="s">
        <v>13</v>
      </c>
      <c r="D60" s="37"/>
      <c r="E60" s="37"/>
      <c r="F60" s="7"/>
      <c r="G60" s="7" t="s">
        <v>19</v>
      </c>
      <c r="H60" s="13"/>
      <c r="I60" s="25"/>
      <c r="J60" s="17">
        <f>J56</f>
        <v>3355328.8200000003</v>
      </c>
    </row>
    <row r="61" spans="2:12" ht="15.5" x14ac:dyDescent="0.35">
      <c r="B61" s="7"/>
      <c r="C61" s="37"/>
      <c r="D61" s="37"/>
      <c r="E61" s="37"/>
      <c r="F61" s="7"/>
      <c r="G61" s="7"/>
      <c r="H61" s="13"/>
      <c r="I61" s="25"/>
      <c r="J61" s="7"/>
      <c r="L61" s="10"/>
    </row>
    <row r="62" spans="2:12" x14ac:dyDescent="0.3">
      <c r="B62" s="34" t="s">
        <v>14</v>
      </c>
      <c r="C62" s="34"/>
      <c r="D62" s="34"/>
      <c r="E62" s="34"/>
      <c r="F62" s="34"/>
      <c r="G62" s="34"/>
      <c r="H62" s="34"/>
      <c r="I62" s="34"/>
      <c r="J62" s="34"/>
    </row>
    <row r="63" spans="2:12" x14ac:dyDescent="0.3">
      <c r="B63" s="34"/>
      <c r="C63" s="34"/>
      <c r="D63" s="34"/>
      <c r="E63" s="34"/>
      <c r="F63" s="34"/>
      <c r="G63" s="34"/>
      <c r="H63" s="34"/>
      <c r="I63" s="34"/>
      <c r="J63" s="34"/>
    </row>
    <row r="64" spans="2:12" x14ac:dyDescent="0.3">
      <c r="B64" s="34"/>
      <c r="C64" s="34"/>
      <c r="D64" s="34"/>
      <c r="E64" s="34"/>
      <c r="F64" s="34"/>
      <c r="G64" s="34"/>
      <c r="H64" s="34"/>
      <c r="I64" s="34"/>
      <c r="J64" s="34"/>
    </row>
    <row r="67" spans="2:10" ht="14.15" customHeight="1" x14ac:dyDescent="0.3">
      <c r="B67" s="33" t="s">
        <v>15</v>
      </c>
      <c r="C67" s="33"/>
      <c r="D67" s="33"/>
      <c r="E67" s="33"/>
      <c r="F67" s="33"/>
      <c r="G67" s="33"/>
      <c r="H67" s="33"/>
      <c r="I67" s="33"/>
      <c r="J67" s="33"/>
    </row>
    <row r="68" spans="2:10" ht="14.15" customHeight="1" x14ac:dyDescent="0.3">
      <c r="B68" s="33"/>
      <c r="C68" s="33"/>
      <c r="D68" s="33"/>
      <c r="E68" s="33"/>
      <c r="F68" s="33"/>
      <c r="G68" s="33"/>
      <c r="H68" s="33"/>
      <c r="I68" s="33"/>
      <c r="J68" s="33"/>
    </row>
    <row r="69" spans="2:10" x14ac:dyDescent="0.3">
      <c r="B69" s="33"/>
      <c r="C69" s="33"/>
      <c r="D69" s="33"/>
      <c r="E69" s="33"/>
      <c r="F69" s="33"/>
      <c r="G69" s="33"/>
      <c r="H69" s="33"/>
      <c r="I69" s="33"/>
      <c r="J69" s="33"/>
    </row>
    <row r="70" spans="2:10" x14ac:dyDescent="0.3">
      <c r="B70" s="33"/>
      <c r="C70" s="33"/>
      <c r="D70" s="33"/>
      <c r="E70" s="33"/>
      <c r="F70" s="33"/>
      <c r="G70" s="33"/>
      <c r="H70" s="33"/>
      <c r="I70" s="33"/>
      <c r="J70" s="33"/>
    </row>
    <row r="71" spans="2:10" ht="15.5" x14ac:dyDescent="0.35">
      <c r="B71" s="7"/>
      <c r="C71" s="7"/>
      <c r="D71" s="7"/>
      <c r="E71" s="7"/>
      <c r="F71" s="7"/>
      <c r="G71" s="7"/>
      <c r="H71" s="13"/>
      <c r="I71" s="25"/>
      <c r="J71" s="7"/>
    </row>
    <row r="72" spans="2:10" ht="15.5" x14ac:dyDescent="0.35">
      <c r="B72" s="7"/>
      <c r="C72" s="7"/>
      <c r="D72" s="7"/>
      <c r="E72" s="7"/>
      <c r="F72" s="7"/>
      <c r="G72" s="7"/>
      <c r="H72" s="13"/>
      <c r="I72" s="25"/>
      <c r="J72" s="7"/>
    </row>
  </sheetData>
  <mergeCells count="68">
    <mergeCell ref="C27:E27"/>
    <mergeCell ref="C21:E21"/>
    <mergeCell ref="C23:E23"/>
    <mergeCell ref="C24:E24"/>
    <mergeCell ref="C25:E25"/>
    <mergeCell ref="C26:E26"/>
    <mergeCell ref="B67:J68"/>
    <mergeCell ref="B69:J70"/>
    <mergeCell ref="C28:E28"/>
    <mergeCell ref="C29:E29"/>
    <mergeCell ref="C30:E30"/>
    <mergeCell ref="C31:E31"/>
    <mergeCell ref="C32:E32"/>
    <mergeCell ref="C33:E33"/>
    <mergeCell ref="C34:E34"/>
    <mergeCell ref="C35:E35"/>
    <mergeCell ref="C57:J57"/>
    <mergeCell ref="C58:E58"/>
    <mergeCell ref="C59:E59"/>
    <mergeCell ref="C60:E60"/>
    <mergeCell ref="C61:E61"/>
    <mergeCell ref="B62:J64"/>
    <mergeCell ref="C55:I55"/>
    <mergeCell ref="C44:E44"/>
    <mergeCell ref="C45:E45"/>
    <mergeCell ref="C46:E46"/>
    <mergeCell ref="C47:E47"/>
    <mergeCell ref="C48:E48"/>
    <mergeCell ref="C49:E49"/>
    <mergeCell ref="C50:E50"/>
    <mergeCell ref="C51:E51"/>
    <mergeCell ref="C52:I52"/>
    <mergeCell ref="C53:I53"/>
    <mergeCell ref="C54:I54"/>
    <mergeCell ref="B9:J9"/>
    <mergeCell ref="C10:E10"/>
    <mergeCell ref="C40:E40"/>
    <mergeCell ref="C41:E41"/>
    <mergeCell ref="C42:E42"/>
    <mergeCell ref="C22:E22"/>
    <mergeCell ref="C11:E11"/>
    <mergeCell ref="C12:E12"/>
    <mergeCell ref="C13:E13"/>
    <mergeCell ref="C14:E14"/>
    <mergeCell ref="C15:E15"/>
    <mergeCell ref="C16:E16"/>
    <mergeCell ref="C17:E17"/>
    <mergeCell ref="C18:E18"/>
    <mergeCell ref="C19:E19"/>
    <mergeCell ref="C20:E20"/>
    <mergeCell ref="C43:E43"/>
    <mergeCell ref="C36:E36"/>
    <mergeCell ref="C37:E37"/>
    <mergeCell ref="C38:E38"/>
    <mergeCell ref="C39:E39"/>
    <mergeCell ref="B8:C8"/>
    <mergeCell ref="D8:J8"/>
    <mergeCell ref="B2:J2"/>
    <mergeCell ref="B4:C4"/>
    <mergeCell ref="D4:G4"/>
    <mergeCell ref="H4:I4"/>
    <mergeCell ref="B5:C5"/>
    <mergeCell ref="D5:J5"/>
    <mergeCell ref="B6:G6"/>
    <mergeCell ref="I6:J6"/>
    <mergeCell ref="B7:C7"/>
    <mergeCell ref="D7:G7"/>
    <mergeCell ref="I7:J7"/>
  </mergeCells>
  <pageMargins left="0.7" right="0.7" top="0.75" bottom="0.75" header="0.3" footer="0.3"/>
  <pageSetup paperSize="9" scale="5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</vt:lpstr>
      <vt:lpstr>2</vt:lpstr>
      <vt:lpstr>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tejas jasani</cp:lastModifiedBy>
  <cp:lastPrinted>2025-07-16T13:02:48Z</cp:lastPrinted>
  <dcterms:created xsi:type="dcterms:W3CDTF">2017-06-28T08:31:23Z</dcterms:created>
  <dcterms:modified xsi:type="dcterms:W3CDTF">2026-04-16T07:38:14Z</dcterms:modified>
</cp:coreProperties>
</file>