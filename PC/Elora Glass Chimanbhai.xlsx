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03EB8E1C-E7EA-4CE4-B1C1-C36979037E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l-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5" l="1"/>
  <c r="J11" i="5"/>
  <c r="M13" i="5"/>
  <c r="M12" i="5"/>
  <c r="M14" i="5"/>
  <c r="M11" i="5"/>
  <c r="M19" i="5" l="1"/>
  <c r="M23" i="5" s="1"/>
</calcChain>
</file>

<file path=xl/sharedStrings.xml><?xml version="1.0" encoding="utf-8"?>
<sst xmlns="http://schemas.openxmlformats.org/spreadsheetml/2006/main" count="38" uniqueCount="36">
  <si>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</si>
  <si>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</si>
  <si>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</si>
  <si>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</si>
  <si>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</si>
  <si>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</si>
  <si>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</si>
  <si>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</si>
  <si>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</si>
  <si>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</si>
  <si>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</si>
  <si>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</si>
  <si>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</si>
  <si>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</si>
  <si>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</si>
  <si>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</si>
  <si>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</si>
  <si>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</si>
  <si>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</si>
  <si>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</si>
  <si>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</si>
  <si>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</si>
  <si>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</si>
  <si>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Debit</t>
  </si>
  <si>
    <t>To, 
Tanvi Infracon</t>
  </si>
  <si>
    <t>Sq.ft.</t>
  </si>
  <si>
    <t>With material and Labour Rate</t>
  </si>
  <si>
    <t>Elora Glass</t>
  </si>
  <si>
    <t>Chimanbhai</t>
  </si>
  <si>
    <t>D &amp; E Building Glass Glazing work</t>
  </si>
  <si>
    <t>E- Building Fix Glass and Door Both Main foyer and Side Entry Side</t>
  </si>
  <si>
    <t xml:space="preserve">E-Building Sliding Mixer lock </t>
  </si>
  <si>
    <t>Nos.</t>
  </si>
  <si>
    <t>D- Building Fix Glass and Door Both Main foyer and Side Entry Side</t>
  </si>
  <si>
    <t xml:space="preserve">D-Building Sliding Mixer lock </t>
  </si>
  <si>
    <t>Two Lakh Fifty Nine Thousand Nine Hundred Fifteen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</si>
</sst>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M35"/>
  <sheetViews>
    <sheetView tabSelected="1" topLeftCell="B11" workbookViewId="0">
      <selection activeCell="E2" sqref="E2:M3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19" t="s">
        <v>0</v>
      </c>
      <c r="F2" s="19"/>
      <c r="G2" s="19"/>
      <c r="H2" s="19"/>
      <c r="I2" s="19"/>
      <c r="J2" s="19"/>
      <c r="K2" s="19"/>
      <c r="L2" s="19"/>
      <c r="M2" s="19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0" t="s">
        <v>16</v>
      </c>
      <c r="F4" s="20"/>
      <c r="G4" s="21" t="s">
        <v>27</v>
      </c>
      <c r="H4" s="21"/>
      <c r="I4" s="21"/>
      <c r="J4" s="21"/>
      <c r="K4" s="22" t="s">
        <v>19</v>
      </c>
      <c r="L4" s="22"/>
      <c r="M4" s="7"/>
    </row>
    <row r="5" spans="5:13" ht="18.899999999999999" customHeight="1" x14ac:dyDescent="0.3">
      <c r="E5" s="23" t="s">
        <v>1</v>
      </c>
      <c r="F5" s="23"/>
      <c r="G5" s="24" t="s">
        <v>28</v>
      </c>
      <c r="H5" s="24"/>
      <c r="I5" s="24"/>
      <c r="J5" s="24"/>
      <c r="K5" s="24"/>
      <c r="L5" s="24"/>
      <c r="M5" s="24"/>
    </row>
    <row r="6" spans="5:13" ht="30.9" customHeight="1" x14ac:dyDescent="0.35">
      <c r="E6" s="25" t="s">
        <v>24</v>
      </c>
      <c r="F6" s="25"/>
      <c r="G6" s="25"/>
      <c r="H6" s="25"/>
      <c r="I6" s="25"/>
      <c r="J6" s="25"/>
      <c r="K6" s="8" t="s">
        <v>2</v>
      </c>
      <c r="L6" s="26">
        <v>45776</v>
      </c>
      <c r="M6" s="27"/>
    </row>
    <row r="7" spans="5:13" ht="20.149999999999999" customHeight="1" x14ac:dyDescent="0.3">
      <c r="E7" s="28" t="s">
        <v>3</v>
      </c>
      <c r="F7" s="28"/>
      <c r="G7" s="29" t="s">
        <v>29</v>
      </c>
      <c r="H7" s="29"/>
      <c r="I7" s="29"/>
      <c r="J7" s="29"/>
      <c r="K7" s="14" t="s">
        <v>17</v>
      </c>
      <c r="L7" s="26">
        <v>45772</v>
      </c>
      <c r="M7" s="27"/>
    </row>
    <row r="8" spans="5:13" ht="18.899999999999999" customHeight="1" x14ac:dyDescent="0.3">
      <c r="E8" s="23" t="s">
        <v>5</v>
      </c>
      <c r="F8" s="23"/>
      <c r="G8" s="24" t="s">
        <v>26</v>
      </c>
      <c r="H8" s="24"/>
      <c r="I8" s="24"/>
      <c r="J8" s="24"/>
      <c r="K8" s="24"/>
      <c r="L8" s="24"/>
      <c r="M8" s="24"/>
    </row>
    <row r="9" spans="5:13" ht="20.399999999999999" customHeight="1" x14ac:dyDescent="0.3">
      <c r="E9" s="23" t="s">
        <v>4</v>
      </c>
      <c r="F9" s="23"/>
      <c r="G9" s="23"/>
      <c r="H9" s="23"/>
      <c r="I9" s="23"/>
      <c r="J9" s="23"/>
      <c r="K9" s="23"/>
      <c r="L9" s="23"/>
      <c r="M9" s="23"/>
    </row>
    <row r="10" spans="5:13" ht="30" x14ac:dyDescent="0.3">
      <c r="E10" s="2" t="s">
        <v>12</v>
      </c>
      <c r="F10" s="30" t="s">
        <v>6</v>
      </c>
      <c r="G10" s="30"/>
      <c r="H10" s="30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44" customHeight="1" x14ac:dyDescent="0.3">
      <c r="E11" s="4">
        <v>1</v>
      </c>
      <c r="F11" s="29" t="s">
        <v>30</v>
      </c>
      <c r="G11" s="29"/>
      <c r="H11" s="29"/>
      <c r="I11" s="5">
        <v>1</v>
      </c>
      <c r="J11" s="12">
        <f>272.87</f>
        <v>272.87</v>
      </c>
      <c r="K11" s="17" t="s">
        <v>25</v>
      </c>
      <c r="L11" s="4">
        <v>466</v>
      </c>
      <c r="M11" s="9">
        <f>J11*L11*I11</f>
        <v>127157.42</v>
      </c>
    </row>
    <row r="12" spans="5:13" ht="44" customHeight="1" x14ac:dyDescent="0.3">
      <c r="E12" s="4">
        <v>2</v>
      </c>
      <c r="F12" s="29" t="s">
        <v>31</v>
      </c>
      <c r="G12" s="29"/>
      <c r="H12" s="29"/>
      <c r="I12" s="5">
        <v>1</v>
      </c>
      <c r="J12" s="12">
        <v>1</v>
      </c>
      <c r="K12" s="17" t="s">
        <v>32</v>
      </c>
      <c r="L12" s="4">
        <v>2800</v>
      </c>
      <c r="M12" s="9">
        <f>J12*L12*I12</f>
        <v>2800</v>
      </c>
    </row>
    <row r="13" spans="5:13" ht="44" customHeight="1" x14ac:dyDescent="0.3">
      <c r="E13" s="4">
        <v>3</v>
      </c>
      <c r="F13" s="29" t="s">
        <v>33</v>
      </c>
      <c r="G13" s="29"/>
      <c r="H13" s="29"/>
      <c r="I13" s="5">
        <v>1</v>
      </c>
      <c r="J13" s="12">
        <v>272.87</v>
      </c>
      <c r="K13" s="17" t="s">
        <v>25</v>
      </c>
      <c r="L13" s="4">
        <v>466</v>
      </c>
      <c r="M13" s="9">
        <f>J13*L13*I13</f>
        <v>127157.42</v>
      </c>
    </row>
    <row r="14" spans="5:13" ht="44" customHeight="1" x14ac:dyDescent="0.3">
      <c r="E14" s="4">
        <v>4</v>
      </c>
      <c r="F14" s="29" t="s">
        <v>34</v>
      </c>
      <c r="G14" s="29"/>
      <c r="H14" s="29"/>
      <c r="I14" s="5">
        <v>1</v>
      </c>
      <c r="J14" s="12">
        <v>1</v>
      </c>
      <c r="K14" s="17" t="s">
        <v>32</v>
      </c>
      <c r="L14" s="4">
        <v>2800</v>
      </c>
      <c r="M14" s="9">
        <f>J14*L14*I14</f>
        <v>2800</v>
      </c>
    </row>
    <row r="15" spans="5:13" ht="17.399999999999999" customHeight="1" x14ac:dyDescent="0.35">
      <c r="E15" s="16"/>
      <c r="F15" s="31" t="s">
        <v>18</v>
      </c>
      <c r="G15" s="31"/>
      <c r="H15" s="31"/>
      <c r="I15" s="31"/>
      <c r="J15" s="31"/>
      <c r="K15" s="31"/>
      <c r="L15" s="31"/>
      <c r="M15" s="10">
        <f>SUM(M11:M14)</f>
        <v>259914.84</v>
      </c>
    </row>
    <row r="16" spans="5:13" ht="17.399999999999999" customHeight="1" x14ac:dyDescent="0.35">
      <c r="E16" s="16"/>
      <c r="F16" s="32" t="s">
        <v>20</v>
      </c>
      <c r="G16" s="32"/>
      <c r="H16" s="32"/>
      <c r="I16" s="32"/>
      <c r="J16" s="32"/>
      <c r="K16" s="32"/>
      <c r="L16" s="32"/>
      <c r="M16" s="6">
        <v>0</v>
      </c>
    </row>
    <row r="17" spans="5:13" ht="17.399999999999999" customHeight="1" x14ac:dyDescent="0.35">
      <c r="E17" s="16"/>
      <c r="F17" s="32" t="s">
        <v>21</v>
      </c>
      <c r="G17" s="32"/>
      <c r="H17" s="32"/>
      <c r="I17" s="32"/>
      <c r="J17" s="32"/>
      <c r="K17" s="32"/>
      <c r="L17" s="32"/>
      <c r="M17" s="6">
        <v>0</v>
      </c>
    </row>
    <row r="18" spans="5:13" ht="17.399999999999999" customHeight="1" x14ac:dyDescent="0.35">
      <c r="E18" s="16"/>
      <c r="F18" s="32" t="s">
        <v>23</v>
      </c>
      <c r="G18" s="32"/>
      <c r="H18" s="32"/>
      <c r="I18" s="32"/>
      <c r="J18" s="32"/>
      <c r="K18" s="32"/>
      <c r="L18" s="32"/>
      <c r="M18" s="10"/>
    </row>
    <row r="19" spans="5:13" ht="17.399999999999999" customHeight="1" x14ac:dyDescent="0.35">
      <c r="E19" s="16"/>
      <c r="F19" s="13"/>
      <c r="G19" s="13"/>
      <c r="H19" s="13"/>
      <c r="I19" s="13"/>
      <c r="J19" s="13"/>
      <c r="K19" s="13"/>
      <c r="L19" s="13"/>
      <c r="M19" s="10">
        <f>M15-M18+M16+M17</f>
        <v>259914.84</v>
      </c>
    </row>
    <row r="20" spans="5:13" ht="15.5" x14ac:dyDescent="0.35">
      <c r="E20" s="7"/>
      <c r="F20" s="33" t="s">
        <v>35</v>
      </c>
      <c r="G20" s="33"/>
      <c r="H20" s="33"/>
      <c r="I20" s="33"/>
      <c r="J20" s="33"/>
      <c r="K20" s="33"/>
      <c r="L20" s="33"/>
      <c r="M20" s="33"/>
    </row>
    <row r="21" spans="5:13" ht="15.5" x14ac:dyDescent="0.35">
      <c r="E21" s="16"/>
      <c r="F21" s="21" t="s">
        <v>13</v>
      </c>
      <c r="G21" s="21"/>
      <c r="H21" s="21"/>
      <c r="I21" s="7"/>
      <c r="J21" s="7"/>
      <c r="K21" s="7"/>
      <c r="L21" s="7"/>
      <c r="M21" s="11"/>
    </row>
    <row r="22" spans="5:13" ht="15.5" x14ac:dyDescent="0.35">
      <c r="E22" s="16"/>
      <c r="F22" s="21" t="s">
        <v>22</v>
      </c>
      <c r="G22" s="21"/>
      <c r="H22" s="21"/>
      <c r="I22" s="7"/>
      <c r="J22" s="7"/>
      <c r="K22" s="7"/>
      <c r="L22" s="7"/>
      <c r="M22" s="11"/>
    </row>
    <row r="23" spans="5:13" ht="15.5" x14ac:dyDescent="0.35">
      <c r="E23" s="16"/>
      <c r="F23" s="21" t="s">
        <v>14</v>
      </c>
      <c r="G23" s="21"/>
      <c r="H23" s="21"/>
      <c r="I23" s="7"/>
      <c r="J23" s="7"/>
      <c r="K23" s="7"/>
      <c r="L23" s="7"/>
      <c r="M23" s="18">
        <f>M19-M21-M22</f>
        <v>259914.84</v>
      </c>
    </row>
    <row r="24" spans="5:13" ht="15.5" x14ac:dyDescent="0.35">
      <c r="E24" s="7"/>
      <c r="F24" s="7"/>
      <c r="G24" s="7"/>
      <c r="H24" s="7"/>
      <c r="I24" s="7"/>
      <c r="J24" s="7"/>
      <c r="K24" s="7"/>
      <c r="L24" s="7"/>
      <c r="M24" s="7"/>
    </row>
    <row r="25" spans="5:13" x14ac:dyDescent="0.3">
      <c r="E25" s="24"/>
      <c r="F25" s="24"/>
      <c r="G25" s="24"/>
      <c r="H25" s="24"/>
      <c r="I25" s="24"/>
      <c r="J25" s="24"/>
      <c r="K25" s="24"/>
      <c r="L25" s="24"/>
      <c r="M25" s="24"/>
    </row>
    <row r="26" spans="5:13" x14ac:dyDescent="0.3">
      <c r="E26" s="24"/>
      <c r="F26" s="24"/>
      <c r="G26" s="24"/>
      <c r="H26" s="24"/>
      <c r="I26" s="24"/>
      <c r="J26" s="24"/>
      <c r="K26" s="24"/>
      <c r="L26" s="24"/>
      <c r="M26" s="24"/>
    </row>
    <row r="27" spans="5:13" x14ac:dyDescent="0.3">
      <c r="E27" s="24"/>
      <c r="F27" s="24"/>
      <c r="G27" s="24"/>
      <c r="H27" s="24"/>
      <c r="I27" s="24"/>
      <c r="J27" s="24"/>
      <c r="K27" s="24"/>
      <c r="L27" s="24"/>
      <c r="M27" s="24"/>
    </row>
    <row r="28" spans="5:13" x14ac:dyDescent="0.3">
      <c r="E28" s="23" t="s">
        <v>15</v>
      </c>
      <c r="F28" s="23"/>
      <c r="G28" s="23"/>
      <c r="H28" s="23"/>
      <c r="I28" s="23"/>
      <c r="J28" s="23"/>
      <c r="K28" s="23"/>
      <c r="L28" s="23"/>
      <c r="M28" s="23"/>
    </row>
    <row r="29" spans="5:13" x14ac:dyDescent="0.3">
      <c r="E29" s="23"/>
      <c r="F29" s="23"/>
      <c r="G29" s="23"/>
      <c r="H29" s="23"/>
      <c r="I29" s="23"/>
      <c r="J29" s="23"/>
      <c r="K29" s="23"/>
      <c r="L29" s="23"/>
      <c r="M29" s="23"/>
    </row>
    <row r="30" spans="5:13" x14ac:dyDescent="0.3">
      <c r="E30" s="23"/>
      <c r="F30" s="23"/>
      <c r="G30" s="23"/>
      <c r="H30" s="23"/>
      <c r="I30" s="23"/>
      <c r="J30" s="23"/>
      <c r="K30" s="23"/>
      <c r="L30" s="23"/>
      <c r="M30" s="23"/>
    </row>
    <row r="31" spans="5:13" x14ac:dyDescent="0.3">
      <c r="E31" s="23"/>
      <c r="F31" s="23"/>
      <c r="G31" s="23"/>
      <c r="H31" s="23"/>
      <c r="I31" s="23"/>
      <c r="J31" s="23"/>
      <c r="K31" s="23"/>
      <c r="L31" s="23"/>
      <c r="M31" s="23"/>
    </row>
    <row r="32" spans="5:13" x14ac:dyDescent="0.3">
      <c r="E32" s="23"/>
      <c r="F32" s="23"/>
      <c r="G32" s="23"/>
      <c r="H32" s="23"/>
      <c r="I32" s="23"/>
      <c r="J32" s="23"/>
      <c r="K32" s="23"/>
      <c r="L32" s="23"/>
      <c r="M32" s="23"/>
    </row>
    <row r="33" spans="5:13" x14ac:dyDescent="0.3">
      <c r="E33" s="23"/>
      <c r="F33" s="23"/>
      <c r="G33" s="23"/>
      <c r="H33" s="23"/>
      <c r="I33" s="23"/>
      <c r="J33" s="23"/>
      <c r="K33" s="23"/>
      <c r="L33" s="23"/>
      <c r="M33" s="23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  <row r="35" spans="5:13" ht="15.5" x14ac:dyDescent="0.35">
      <c r="E35" s="7"/>
      <c r="F35" s="7"/>
      <c r="G35" s="7"/>
      <c r="H35" s="7"/>
      <c r="I35" s="7"/>
      <c r="J35" s="7"/>
      <c r="K35" s="7"/>
      <c r="L35" s="7"/>
      <c r="M35" s="7"/>
    </row>
  </sheetData>
  <mergeCells count="31">
    <mergeCell ref="F14:H14"/>
    <mergeCell ref="F12:H12"/>
    <mergeCell ref="F13:H13"/>
    <mergeCell ref="E32:M33"/>
    <mergeCell ref="F15:L15"/>
    <mergeCell ref="F16:L16"/>
    <mergeCell ref="F17:L17"/>
    <mergeCell ref="F18:L18"/>
    <mergeCell ref="F20:M20"/>
    <mergeCell ref="F21:H21"/>
    <mergeCell ref="F22:H22"/>
    <mergeCell ref="F23:H23"/>
    <mergeCell ref="E25:M27"/>
    <mergeCell ref="E28:M29"/>
    <mergeCell ref="E30:M31"/>
    <mergeCell ref="E8:F8"/>
    <mergeCell ref="G8:M8"/>
    <mergeCell ref="E9:M9"/>
    <mergeCell ref="F10:H10"/>
    <mergeCell ref="F11:H11"/>
    <mergeCell ref="E6:J6"/>
    <mergeCell ref="L6:M6"/>
    <mergeCell ref="E7:F7"/>
    <mergeCell ref="G7:J7"/>
    <mergeCell ref="L7:M7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2025-04-29T08:23:17Z</cp:lastPrinted>
  <dcterms:created xsi:type="dcterms:W3CDTF">2017-06-28T08:31:23Z</dcterms:created>
  <dcterms:modified xsi:type="dcterms:W3CDTF">2025-10-09T12:18:01Z</dcterms:modified>
</cp:coreProperties>
</file>