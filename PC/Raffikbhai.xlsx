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BF91A5CF-D129-4A23-8D21-8C67FFDBB54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" sheetId="26" r:id="rId1"/>
    <sheet name="2" sheetId="27" r:id="rId2"/>
    <sheet name="3" sheetId="28" r:id="rId3"/>
    <sheet name="4" sheetId="29" r:id="rId4"/>
    <sheet name="5" sheetId="30" r:id="rId5"/>
    <sheet name="6" sheetId="31" r:id="rId6"/>
    <sheet name="7" sheetId="32" r:id="rId7"/>
    <sheet name="8" sheetId="3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33" l="1"/>
  <c r="J12" i="33"/>
  <c r="J11" i="33"/>
  <c r="J13" i="33"/>
  <c r="G11" i="32"/>
  <c r="J11" i="32" s="1"/>
  <c r="J12" i="32" s="1"/>
  <c r="J15" i="32" s="1"/>
  <c r="J19" i="32" s="1"/>
  <c r="J17" i="33" l="1"/>
  <c r="J21" i="33" s="1"/>
  <c r="J11" i="31"/>
  <c r="J12" i="31" s="1"/>
  <c r="J15" i="31" s="1"/>
  <c r="J19" i="31" s="1"/>
  <c r="J14" i="30"/>
  <c r="J12" i="30"/>
  <c r="J11" i="30"/>
  <c r="J13" i="30"/>
  <c r="J17" i="30" s="1"/>
  <c r="J21" i="30" s="1"/>
  <c r="J11" i="29"/>
  <c r="J12" i="29" s="1"/>
  <c r="J15" i="29" s="1"/>
  <c r="J19" i="29" s="1"/>
  <c r="J11" i="28" l="1"/>
  <c r="J12" i="28" s="1"/>
  <c r="J15" i="28" s="1"/>
  <c r="J19" i="28" s="1"/>
  <c r="J13" i="27" l="1"/>
  <c r="J11" i="27"/>
  <c r="J12" i="27"/>
  <c r="J16" i="27" s="1"/>
  <c r="J20" i="27" s="1"/>
  <c r="J11" i="26"/>
  <c r="J12" i="26" s="1"/>
  <c r="J15" i="26" l="1"/>
  <c r="J19" i="26" s="1"/>
</calcChain>
</file>

<file path=xl/sharedStrings.xml><?xml version="1.0" encoding="utf-8"?>
<sst xmlns="http://schemas.openxmlformats.org/spreadsheetml/2006/main" count="266" uniqueCount="51">
  <si>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</si>
  <si>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</si>
  <si>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</si>
  <si>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</si>
  <si>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</si>
  <si>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</si>
  <si>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</si>
  <si>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</si>
  <si>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</si>
  <si>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</si>
  <si>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</si>
  <si>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</si>
  <si>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</si>
  <si>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</si>
  <si>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</si>
  <si>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</si>
  <si>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</si>
  <si>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</si>
  <si>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</si>
  <si>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</si>
  <si>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</si>
  <si>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Invoice No.</t>
  </si>
  <si>
    <t>GST @ 18%</t>
  </si>
  <si>
    <t>To, 
Tanvi Infracon - Pramukh Revanta Project</t>
  </si>
  <si>
    <t>Sq.ft.</t>
  </si>
  <si>
    <t>Rate</t>
  </si>
  <si>
    <t>Firoj Gulambhai Bhatti</t>
  </si>
  <si>
    <t>Rafikbhai</t>
  </si>
  <si>
    <t>D &amp; E Building Texture work</t>
  </si>
  <si>
    <t xml:space="preserve">Rustic Texture work </t>
  </si>
  <si>
    <t>Four Lakh Ninty Seven Lakh Nine Hundred Eighty One Only</t>
  </si>
  <si>
    <t>Rustic Texture work (Top chajja and balcony top)</t>
  </si>
  <si>
    <t>Seven Lakh Three Thousand Nine Hundred Seventy Only</t>
  </si>
  <si>
    <t>C Building Texture work</t>
  </si>
  <si>
    <t>Six Lakh Thirty Nine Thousand Four hundred  Eight Only</t>
  </si>
  <si>
    <t xml:space="preserve">Sheth Vasimakram </t>
  </si>
  <si>
    <t>Five Lakh Seventy Three Thousand Fifty Six Only</t>
  </si>
  <si>
    <t>Staircase Rustic Texture work for D &amp; E Building</t>
  </si>
  <si>
    <t>Terrace Parapet Rustic Texture work D &amp; E Building</t>
  </si>
  <si>
    <t>Chajja and Terrace Perapet top dhar Dholpuri Texture work</t>
  </si>
  <si>
    <t>Two Lakh Twenty Two Thousand Four Hundred Eighty Only</t>
  </si>
  <si>
    <t>B- Building Texture Work</t>
  </si>
  <si>
    <t>Four Lakh Sixty Eight Thousand Six Hundred Eighty Eight Only</t>
  </si>
  <si>
    <t>D &amp; E- Building Texture Work</t>
  </si>
  <si>
    <t>A &amp; B- Building Texture Work</t>
  </si>
  <si>
    <t>Six Lakh Sixty Two Thousand Five Hundred Seventy Six Only</t>
  </si>
  <si>
    <t>C- Building Texture Work</t>
  </si>
  <si>
    <t>Terrace Parapet Rustic Texture work</t>
  </si>
  <si>
    <t>Terrace Parapet Top Dhar Dholpuri Texture work</t>
  </si>
  <si>
    <t>Staircase Rustic Texture work</t>
  </si>
  <si>
    <t>One Lakh Twenty One Thousand Three Hundred Fourty Four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</si>
</sst>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" fillId="0" borderId="0" xfId="0" applyNumberFormat="1" applyFont="1"/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1"/>
  <sheetViews>
    <sheetView topLeftCell="A3" zoomScaleNormal="100" workbookViewId="0">
      <selection activeCell="G11" sqref="G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3" t="s">
        <v>16</v>
      </c>
      <c r="C4" s="23"/>
      <c r="D4" s="24" t="s">
        <v>26</v>
      </c>
      <c r="E4" s="24"/>
      <c r="F4" s="24"/>
      <c r="G4" s="24"/>
      <c r="H4" s="25" t="s">
        <v>21</v>
      </c>
      <c r="I4" s="25"/>
      <c r="J4" s="8">
        <v>1</v>
      </c>
    </row>
    <row r="5" spans="2:10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45394</v>
      </c>
      <c r="J6" s="28"/>
    </row>
    <row r="7" spans="2:10" ht="20.149999999999999" customHeight="1" x14ac:dyDescent="0.3">
      <c r="B7" s="29" t="s">
        <v>3</v>
      </c>
      <c r="C7" s="29"/>
      <c r="D7" s="30" t="s">
        <v>28</v>
      </c>
      <c r="E7" s="30"/>
      <c r="F7" s="30"/>
      <c r="G7" s="30"/>
      <c r="H7" s="3" t="s">
        <v>17</v>
      </c>
      <c r="I7" s="27">
        <v>45394</v>
      </c>
      <c r="J7" s="28"/>
    </row>
    <row r="8" spans="2:10" ht="18.899999999999999" customHeight="1" x14ac:dyDescent="0.3">
      <c r="B8" s="20" t="s">
        <v>5</v>
      </c>
      <c r="C8" s="20"/>
      <c r="D8" s="21" t="s">
        <v>28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0" ht="15.5" x14ac:dyDescent="0.3">
      <c r="B11" s="4">
        <v>1</v>
      </c>
      <c r="C11" s="30" t="s">
        <v>29</v>
      </c>
      <c r="D11" s="30"/>
      <c r="E11" s="30"/>
      <c r="F11" s="5">
        <v>1</v>
      </c>
      <c r="G11" s="12">
        <v>29293</v>
      </c>
      <c r="H11" s="4" t="s">
        <v>24</v>
      </c>
      <c r="I11" s="13">
        <v>17</v>
      </c>
      <c r="J11" s="6">
        <f>F11*I11*G11</f>
        <v>497981</v>
      </c>
    </row>
    <row r="12" spans="2:10" ht="17.399999999999999" customHeight="1" x14ac:dyDescent="0.35">
      <c r="B12" s="17"/>
      <c r="C12" s="31" t="s">
        <v>18</v>
      </c>
      <c r="D12" s="31"/>
      <c r="E12" s="31"/>
      <c r="F12" s="31"/>
      <c r="G12" s="31"/>
      <c r="H12" s="31"/>
      <c r="I12" s="31"/>
      <c r="J12" s="19">
        <f>SUM(J11:J11)</f>
        <v>497981</v>
      </c>
    </row>
    <row r="13" spans="2:10" ht="17.399999999999999" customHeight="1" x14ac:dyDescent="0.35">
      <c r="B13" s="17"/>
      <c r="C13" s="32" t="s">
        <v>22</v>
      </c>
      <c r="D13" s="32"/>
      <c r="E13" s="32"/>
      <c r="F13" s="32"/>
      <c r="G13" s="32"/>
      <c r="H13" s="32"/>
      <c r="I13" s="32"/>
      <c r="J13" s="7">
        <v>0</v>
      </c>
    </row>
    <row r="14" spans="2:10" ht="17.399999999999999" customHeight="1" x14ac:dyDescent="0.35">
      <c r="B14" s="17"/>
      <c r="C14" s="32"/>
      <c r="D14" s="32"/>
      <c r="E14" s="32"/>
      <c r="F14" s="32"/>
      <c r="G14" s="32"/>
      <c r="H14" s="32"/>
      <c r="I14" s="32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19">
        <f>J12+J13+J14</f>
        <v>497981</v>
      </c>
    </row>
    <row r="16" spans="2:10" ht="15.5" x14ac:dyDescent="0.35">
      <c r="B16" s="8"/>
      <c r="C16" s="34" t="s">
        <v>30</v>
      </c>
      <c r="D16" s="34"/>
      <c r="E16" s="34"/>
      <c r="F16" s="34"/>
      <c r="G16" s="34"/>
      <c r="H16" s="34"/>
      <c r="I16" s="34"/>
      <c r="J16" s="34"/>
    </row>
    <row r="17" spans="2:12" ht="15.5" x14ac:dyDescent="0.35">
      <c r="B17" s="17"/>
      <c r="C17" s="24" t="s">
        <v>12</v>
      </c>
      <c r="D17" s="24"/>
      <c r="E17" s="24"/>
      <c r="F17" s="8"/>
      <c r="G17" s="8"/>
      <c r="H17" s="8"/>
      <c r="I17" s="8"/>
      <c r="J17" s="9">
        <v>0</v>
      </c>
    </row>
    <row r="18" spans="2:12" ht="15.5" x14ac:dyDescent="0.35">
      <c r="B18" s="17"/>
      <c r="C18" s="24" t="s">
        <v>20</v>
      </c>
      <c r="D18" s="24"/>
      <c r="E18" s="24"/>
      <c r="F18" s="8"/>
      <c r="G18" s="8"/>
      <c r="H18" s="8"/>
      <c r="I18" s="8"/>
      <c r="J18" s="9">
        <v>0</v>
      </c>
    </row>
    <row r="19" spans="2:12" ht="15.5" x14ac:dyDescent="0.35">
      <c r="B19" s="17"/>
      <c r="C19" s="24" t="s">
        <v>13</v>
      </c>
      <c r="D19" s="24"/>
      <c r="E19" s="24"/>
      <c r="F19" s="8"/>
      <c r="G19" s="8" t="s">
        <v>19</v>
      </c>
      <c r="H19" s="8"/>
      <c r="I19" s="8"/>
      <c r="J19" s="18">
        <f>J15</f>
        <v>497981</v>
      </c>
    </row>
    <row r="20" spans="2:12" ht="15.5" x14ac:dyDescent="0.35">
      <c r="B20" s="8"/>
      <c r="C20" s="24"/>
      <c r="D20" s="24"/>
      <c r="E20" s="24"/>
      <c r="F20" s="8"/>
      <c r="G20" s="8"/>
      <c r="H20" s="8"/>
      <c r="I20" s="8"/>
      <c r="J20" s="8"/>
      <c r="L20" s="11"/>
    </row>
    <row r="21" spans="2:12" x14ac:dyDescent="0.3">
      <c r="B21" s="21" t="s">
        <v>14</v>
      </c>
      <c r="C21" s="21"/>
      <c r="D21" s="21"/>
      <c r="E21" s="21"/>
      <c r="F21" s="21"/>
      <c r="G21" s="21"/>
      <c r="H21" s="21"/>
      <c r="I21" s="21"/>
      <c r="J21" s="21"/>
    </row>
    <row r="22" spans="2:12" x14ac:dyDescent="0.3">
      <c r="B22" s="21"/>
      <c r="C22" s="21"/>
      <c r="D22" s="21"/>
      <c r="E22" s="21"/>
      <c r="F22" s="21"/>
      <c r="G22" s="21"/>
      <c r="H22" s="21"/>
      <c r="I22" s="21"/>
      <c r="J22" s="21"/>
    </row>
    <row r="23" spans="2:12" x14ac:dyDescent="0.3">
      <c r="B23" s="21"/>
      <c r="C23" s="21"/>
      <c r="D23" s="21"/>
      <c r="E23" s="21"/>
      <c r="F23" s="21"/>
      <c r="G23" s="21"/>
      <c r="H23" s="21"/>
      <c r="I23" s="21"/>
      <c r="J23" s="21"/>
    </row>
    <row r="26" spans="2:12" ht="14.15" customHeight="1" x14ac:dyDescent="0.3">
      <c r="B26" s="20" t="s">
        <v>15</v>
      </c>
      <c r="C26" s="20"/>
      <c r="D26" s="20"/>
      <c r="E26" s="20"/>
      <c r="F26" s="20"/>
      <c r="G26" s="20"/>
      <c r="H26" s="20"/>
      <c r="I26" s="20"/>
      <c r="J26" s="20"/>
    </row>
    <row r="27" spans="2:12" ht="14.15" customHeight="1" x14ac:dyDescent="0.3">
      <c r="B27" s="20"/>
      <c r="C27" s="20"/>
      <c r="D27" s="20"/>
      <c r="E27" s="20"/>
      <c r="F27" s="20"/>
      <c r="G27" s="20"/>
      <c r="H27" s="20"/>
      <c r="I27" s="20"/>
      <c r="J27" s="20"/>
    </row>
    <row r="28" spans="2:12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29" spans="2:12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26:J27"/>
    <mergeCell ref="B28:J29"/>
    <mergeCell ref="C16:J16"/>
    <mergeCell ref="C17:E17"/>
    <mergeCell ref="C18:E18"/>
    <mergeCell ref="C19:E19"/>
    <mergeCell ref="C20:E20"/>
    <mergeCell ref="B21:J23"/>
    <mergeCell ref="C12:I12"/>
    <mergeCell ref="C13:I13"/>
    <mergeCell ref="C14:I14"/>
    <mergeCell ref="B9:J9"/>
    <mergeCell ref="C10:E10"/>
    <mergeCell ref="C11:E11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80FC-B0C8-4BDC-9326-64829DD9472B}">
  <sheetPr>
    <pageSetUpPr fitToPage="1"/>
  </sheetPr>
  <dimension ref="B2:L32"/>
  <sheetViews>
    <sheetView tabSelected="1" zoomScaleNormal="100" workbookViewId="0">
      <selection activeCell="B9" sqref="B9:J9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3" t="s">
        <v>16</v>
      </c>
      <c r="C4" s="23"/>
      <c r="D4" s="24" t="s">
        <v>26</v>
      </c>
      <c r="E4" s="24"/>
      <c r="F4" s="24"/>
      <c r="G4" s="24"/>
      <c r="H4" s="25" t="s">
        <v>21</v>
      </c>
      <c r="I4" s="25"/>
      <c r="J4" s="8">
        <v>2</v>
      </c>
    </row>
    <row r="5" spans="2:10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45448</v>
      </c>
      <c r="J6" s="28"/>
    </row>
    <row r="7" spans="2:10" ht="20.149999999999999" customHeight="1" x14ac:dyDescent="0.3">
      <c r="B7" s="29" t="s">
        <v>3</v>
      </c>
      <c r="C7" s="29"/>
      <c r="D7" s="30" t="s">
        <v>28</v>
      </c>
      <c r="E7" s="30"/>
      <c r="F7" s="30"/>
      <c r="G7" s="30"/>
      <c r="H7" s="3" t="s">
        <v>17</v>
      </c>
      <c r="I7" s="27">
        <v>45448</v>
      </c>
      <c r="J7" s="28"/>
    </row>
    <row r="8" spans="2:10" ht="18.899999999999999" customHeight="1" x14ac:dyDescent="0.3">
      <c r="B8" s="20" t="s">
        <v>5</v>
      </c>
      <c r="C8" s="20"/>
      <c r="D8" s="21" t="s">
        <v>28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0" ht="15.5" x14ac:dyDescent="0.3">
      <c r="B11" s="4">
        <v>1</v>
      </c>
      <c r="C11" s="30" t="s">
        <v>29</v>
      </c>
      <c r="D11" s="30"/>
      <c r="E11" s="30"/>
      <c r="F11" s="5">
        <v>1</v>
      </c>
      <c r="G11" s="12">
        <v>33505</v>
      </c>
      <c r="H11" s="4" t="s">
        <v>24</v>
      </c>
      <c r="I11" s="13">
        <v>17</v>
      </c>
      <c r="J11" s="6">
        <f>F11*I11*G11</f>
        <v>569585</v>
      </c>
    </row>
    <row r="12" spans="2:10" ht="15.5" x14ac:dyDescent="0.3">
      <c r="B12" s="4">
        <v>2</v>
      </c>
      <c r="C12" s="30" t="s">
        <v>31</v>
      </c>
      <c r="D12" s="30"/>
      <c r="E12" s="30"/>
      <c r="F12" s="5">
        <v>1</v>
      </c>
      <c r="G12" s="12">
        <v>7905</v>
      </c>
      <c r="H12" s="4" t="s">
        <v>24</v>
      </c>
      <c r="I12" s="13">
        <v>17</v>
      </c>
      <c r="J12" s="6">
        <f>F12*I12*G12</f>
        <v>134385</v>
      </c>
    </row>
    <row r="13" spans="2:10" ht="17.399999999999999" customHeight="1" x14ac:dyDescent="0.35">
      <c r="B13" s="17"/>
      <c r="C13" s="31" t="s">
        <v>18</v>
      </c>
      <c r="D13" s="31"/>
      <c r="E13" s="31"/>
      <c r="F13" s="31"/>
      <c r="G13" s="31"/>
      <c r="H13" s="31"/>
      <c r="I13" s="31"/>
      <c r="J13" s="19">
        <f>SUM(J11:J12)</f>
        <v>703970</v>
      </c>
    </row>
    <row r="14" spans="2:10" ht="17.399999999999999" customHeight="1" x14ac:dyDescent="0.35">
      <c r="B14" s="17"/>
      <c r="C14" s="32" t="s">
        <v>22</v>
      </c>
      <c r="D14" s="32"/>
      <c r="E14" s="32"/>
      <c r="F14" s="32"/>
      <c r="G14" s="32"/>
      <c r="H14" s="32"/>
      <c r="I14" s="32"/>
      <c r="J14" s="7">
        <v>0</v>
      </c>
    </row>
    <row r="15" spans="2:10" ht="17.399999999999999" customHeight="1" x14ac:dyDescent="0.35">
      <c r="B15" s="17"/>
      <c r="C15" s="32"/>
      <c r="D15" s="32"/>
      <c r="E15" s="32"/>
      <c r="F15" s="32"/>
      <c r="G15" s="32"/>
      <c r="H15" s="32"/>
      <c r="I15" s="32"/>
      <c r="J15" s="7"/>
    </row>
    <row r="16" spans="2:10" ht="17.399999999999999" customHeight="1" x14ac:dyDescent="0.35">
      <c r="B16" s="17"/>
      <c r="C16" s="14"/>
      <c r="D16" s="14"/>
      <c r="E16" s="14"/>
      <c r="F16" s="14"/>
      <c r="G16" s="14"/>
      <c r="H16" s="14"/>
      <c r="I16" s="14"/>
      <c r="J16" s="19">
        <f>J13+J14+J15</f>
        <v>703970</v>
      </c>
    </row>
    <row r="17" spans="2:12" ht="15.5" x14ac:dyDescent="0.35">
      <c r="B17" s="8"/>
      <c r="C17" s="34" t="s">
        <v>32</v>
      </c>
      <c r="D17" s="34"/>
      <c r="E17" s="34"/>
      <c r="F17" s="34"/>
      <c r="G17" s="34"/>
      <c r="H17" s="34"/>
      <c r="I17" s="34"/>
      <c r="J17" s="34"/>
    </row>
    <row r="18" spans="2:12" ht="15.5" x14ac:dyDescent="0.35">
      <c r="B18" s="17"/>
      <c r="C18" s="24" t="s">
        <v>12</v>
      </c>
      <c r="D18" s="24"/>
      <c r="E18" s="24"/>
      <c r="F18" s="8"/>
      <c r="G18" s="8"/>
      <c r="H18" s="8"/>
      <c r="I18" s="8"/>
      <c r="J18" s="9">
        <v>0</v>
      </c>
    </row>
    <row r="19" spans="2:12" ht="15.5" x14ac:dyDescent="0.35">
      <c r="B19" s="17"/>
      <c r="C19" s="24" t="s">
        <v>20</v>
      </c>
      <c r="D19" s="24"/>
      <c r="E19" s="24"/>
      <c r="F19" s="8"/>
      <c r="G19" s="8"/>
      <c r="H19" s="8"/>
      <c r="I19" s="8"/>
      <c r="J19" s="9">
        <v>0</v>
      </c>
    </row>
    <row r="20" spans="2:12" ht="15.5" x14ac:dyDescent="0.35">
      <c r="B20" s="17"/>
      <c r="C20" s="24" t="s">
        <v>13</v>
      </c>
      <c r="D20" s="24"/>
      <c r="E20" s="24"/>
      <c r="F20" s="8"/>
      <c r="G20" s="8" t="s">
        <v>19</v>
      </c>
      <c r="H20" s="8"/>
      <c r="I20" s="8"/>
      <c r="J20" s="18">
        <f>J16</f>
        <v>703970</v>
      </c>
    </row>
    <row r="21" spans="2:12" ht="15.5" x14ac:dyDescent="0.35">
      <c r="B21" s="8"/>
      <c r="C21" s="24"/>
      <c r="D21" s="24"/>
      <c r="E21" s="24"/>
      <c r="F21" s="8"/>
      <c r="G21" s="8"/>
      <c r="H21" s="8"/>
      <c r="I21" s="8"/>
      <c r="J21" s="8"/>
      <c r="L21" s="11"/>
    </row>
    <row r="22" spans="2:12" x14ac:dyDescent="0.3">
      <c r="B22" s="21" t="s">
        <v>14</v>
      </c>
      <c r="C22" s="21"/>
      <c r="D22" s="21"/>
      <c r="E22" s="21"/>
      <c r="F22" s="21"/>
      <c r="G22" s="21"/>
      <c r="H22" s="21"/>
      <c r="I22" s="21"/>
      <c r="J22" s="21"/>
    </row>
    <row r="23" spans="2:12" x14ac:dyDescent="0.3">
      <c r="B23" s="21"/>
      <c r="C23" s="21"/>
      <c r="D23" s="21"/>
      <c r="E23" s="21"/>
      <c r="F23" s="21"/>
      <c r="G23" s="21"/>
      <c r="H23" s="21"/>
      <c r="I23" s="21"/>
      <c r="J23" s="21"/>
    </row>
    <row r="24" spans="2:12" x14ac:dyDescent="0.3">
      <c r="B24" s="21"/>
      <c r="C24" s="21"/>
      <c r="D24" s="21"/>
      <c r="E24" s="21"/>
      <c r="F24" s="21"/>
      <c r="G24" s="21"/>
      <c r="H24" s="21"/>
      <c r="I24" s="21"/>
      <c r="J24" s="21"/>
    </row>
    <row r="27" spans="2:12" ht="14.15" customHeight="1" x14ac:dyDescent="0.3">
      <c r="B27" s="20" t="s">
        <v>15</v>
      </c>
      <c r="C27" s="20"/>
      <c r="D27" s="20"/>
      <c r="E27" s="20"/>
      <c r="F27" s="20"/>
      <c r="G27" s="20"/>
      <c r="H27" s="20"/>
      <c r="I27" s="20"/>
      <c r="J27" s="20"/>
    </row>
    <row r="28" spans="2:12" ht="14.15" customHeight="1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29" spans="2:12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x14ac:dyDescent="0.3">
      <c r="B30" s="20"/>
      <c r="C30" s="20"/>
      <c r="D30" s="20"/>
      <c r="E30" s="20"/>
      <c r="F30" s="20"/>
      <c r="G30" s="20"/>
      <c r="H30" s="20"/>
      <c r="I30" s="20"/>
      <c r="J30" s="20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</sheetData>
  <mergeCells count="28">
    <mergeCell ref="B27:J28"/>
    <mergeCell ref="B29:J30"/>
    <mergeCell ref="C11:E11"/>
    <mergeCell ref="C17:J17"/>
    <mergeCell ref="C18:E18"/>
    <mergeCell ref="C19:E19"/>
    <mergeCell ref="C20:E20"/>
    <mergeCell ref="C21:E21"/>
    <mergeCell ref="B22:J24"/>
    <mergeCell ref="C15:I15"/>
    <mergeCell ref="B9:J9"/>
    <mergeCell ref="C10:E10"/>
    <mergeCell ref="C12:E12"/>
    <mergeCell ref="C13:I13"/>
    <mergeCell ref="C14:I14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18E4-6056-48D9-81D3-40FCDF8A855C}">
  <sheetPr>
    <pageSetUpPr fitToPage="1"/>
  </sheetPr>
  <dimension ref="B2:L31"/>
  <sheetViews>
    <sheetView zoomScaleNormal="100" workbookViewId="0">
      <selection activeCell="M8" sqref="M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3" t="s">
        <v>16</v>
      </c>
      <c r="C4" s="23"/>
      <c r="D4" s="24" t="s">
        <v>26</v>
      </c>
      <c r="E4" s="24"/>
      <c r="F4" s="24"/>
      <c r="G4" s="24"/>
      <c r="H4" s="25" t="s">
        <v>21</v>
      </c>
      <c r="I4" s="25"/>
      <c r="J4" s="8">
        <v>2</v>
      </c>
    </row>
    <row r="5" spans="2:10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45491</v>
      </c>
      <c r="J6" s="28"/>
    </row>
    <row r="7" spans="2:10" ht="20.149999999999999" customHeight="1" x14ac:dyDescent="0.3">
      <c r="B7" s="29" t="s">
        <v>3</v>
      </c>
      <c r="C7" s="29"/>
      <c r="D7" s="30" t="s">
        <v>33</v>
      </c>
      <c r="E7" s="30"/>
      <c r="F7" s="30"/>
      <c r="G7" s="30"/>
      <c r="H7" s="3" t="s">
        <v>17</v>
      </c>
      <c r="I7" s="27">
        <v>45491</v>
      </c>
      <c r="J7" s="28"/>
    </row>
    <row r="8" spans="2:10" ht="18.899999999999999" customHeight="1" x14ac:dyDescent="0.3">
      <c r="B8" s="20" t="s">
        <v>5</v>
      </c>
      <c r="C8" s="20"/>
      <c r="D8" s="21" t="s">
        <v>33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0" ht="15.5" x14ac:dyDescent="0.3">
      <c r="B11" s="4">
        <v>1</v>
      </c>
      <c r="C11" s="30" t="s">
        <v>29</v>
      </c>
      <c r="D11" s="30"/>
      <c r="E11" s="30"/>
      <c r="F11" s="5">
        <v>1</v>
      </c>
      <c r="G11" s="12">
        <v>39963</v>
      </c>
      <c r="H11" s="4" t="s">
        <v>24</v>
      </c>
      <c r="I11" s="13">
        <v>16</v>
      </c>
      <c r="J11" s="6">
        <f>F11*I11*G11</f>
        <v>639408</v>
      </c>
    </row>
    <row r="12" spans="2:10" ht="17.399999999999999" customHeight="1" x14ac:dyDescent="0.35">
      <c r="B12" s="17"/>
      <c r="C12" s="31" t="s">
        <v>18</v>
      </c>
      <c r="D12" s="31"/>
      <c r="E12" s="31"/>
      <c r="F12" s="31"/>
      <c r="G12" s="31"/>
      <c r="H12" s="31"/>
      <c r="I12" s="31"/>
      <c r="J12" s="19">
        <f>SUM(J11:J11)</f>
        <v>639408</v>
      </c>
    </row>
    <row r="13" spans="2:10" ht="17.399999999999999" customHeight="1" x14ac:dyDescent="0.35">
      <c r="B13" s="17"/>
      <c r="C13" s="32" t="s">
        <v>22</v>
      </c>
      <c r="D13" s="32"/>
      <c r="E13" s="32"/>
      <c r="F13" s="32"/>
      <c r="G13" s="32"/>
      <c r="H13" s="32"/>
      <c r="I13" s="32"/>
      <c r="J13" s="7">
        <v>0</v>
      </c>
    </row>
    <row r="14" spans="2:10" ht="17.399999999999999" customHeight="1" x14ac:dyDescent="0.35">
      <c r="B14" s="17"/>
      <c r="C14" s="32"/>
      <c r="D14" s="32"/>
      <c r="E14" s="32"/>
      <c r="F14" s="32"/>
      <c r="G14" s="32"/>
      <c r="H14" s="32"/>
      <c r="I14" s="32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19">
        <f>J12+J13+J14</f>
        <v>639408</v>
      </c>
    </row>
    <row r="16" spans="2:10" ht="15.5" x14ac:dyDescent="0.35">
      <c r="B16" s="8"/>
      <c r="C16" s="34" t="s">
        <v>34</v>
      </c>
      <c r="D16" s="34"/>
      <c r="E16" s="34"/>
      <c r="F16" s="34"/>
      <c r="G16" s="34"/>
      <c r="H16" s="34"/>
      <c r="I16" s="34"/>
      <c r="J16" s="34"/>
    </row>
    <row r="17" spans="2:12" ht="15.5" x14ac:dyDescent="0.35">
      <c r="B17" s="17"/>
      <c r="C17" s="24" t="s">
        <v>12</v>
      </c>
      <c r="D17" s="24"/>
      <c r="E17" s="24"/>
      <c r="F17" s="8"/>
      <c r="G17" s="8"/>
      <c r="H17" s="8"/>
      <c r="I17" s="8"/>
      <c r="J17" s="9">
        <v>0</v>
      </c>
    </row>
    <row r="18" spans="2:12" ht="15.5" x14ac:dyDescent="0.35">
      <c r="B18" s="17"/>
      <c r="C18" s="24" t="s">
        <v>20</v>
      </c>
      <c r="D18" s="24"/>
      <c r="E18" s="24"/>
      <c r="F18" s="8"/>
      <c r="G18" s="8"/>
      <c r="H18" s="8"/>
      <c r="I18" s="8"/>
      <c r="J18" s="9">
        <v>0</v>
      </c>
    </row>
    <row r="19" spans="2:12" ht="15.5" x14ac:dyDescent="0.35">
      <c r="B19" s="17"/>
      <c r="C19" s="24" t="s">
        <v>13</v>
      </c>
      <c r="D19" s="24"/>
      <c r="E19" s="24"/>
      <c r="F19" s="8"/>
      <c r="G19" s="8" t="s">
        <v>19</v>
      </c>
      <c r="H19" s="8"/>
      <c r="I19" s="8"/>
      <c r="J19" s="18">
        <f>J15</f>
        <v>639408</v>
      </c>
    </row>
    <row r="20" spans="2:12" ht="15.5" x14ac:dyDescent="0.35">
      <c r="B20" s="8"/>
      <c r="C20" s="24"/>
      <c r="D20" s="24"/>
      <c r="E20" s="24"/>
      <c r="F20" s="8"/>
      <c r="G20" s="8"/>
      <c r="H20" s="8"/>
      <c r="I20" s="8"/>
      <c r="J20" s="8"/>
      <c r="L20" s="11"/>
    </row>
    <row r="21" spans="2:12" x14ac:dyDescent="0.3">
      <c r="B21" s="21" t="s">
        <v>14</v>
      </c>
      <c r="C21" s="21"/>
      <c r="D21" s="21"/>
      <c r="E21" s="21"/>
      <c r="F21" s="21"/>
      <c r="G21" s="21"/>
      <c r="H21" s="21"/>
      <c r="I21" s="21"/>
      <c r="J21" s="21"/>
    </row>
    <row r="22" spans="2:12" x14ac:dyDescent="0.3">
      <c r="B22" s="21"/>
      <c r="C22" s="21"/>
      <c r="D22" s="21"/>
      <c r="E22" s="21"/>
      <c r="F22" s="21"/>
      <c r="G22" s="21"/>
      <c r="H22" s="21"/>
      <c r="I22" s="21"/>
      <c r="J22" s="21"/>
    </row>
    <row r="23" spans="2:12" x14ac:dyDescent="0.3">
      <c r="B23" s="21"/>
      <c r="C23" s="21"/>
      <c r="D23" s="21"/>
      <c r="E23" s="21"/>
      <c r="F23" s="21"/>
      <c r="G23" s="21"/>
      <c r="H23" s="21"/>
      <c r="I23" s="21"/>
      <c r="J23" s="21"/>
    </row>
    <row r="26" spans="2:12" ht="14.15" customHeight="1" x14ac:dyDescent="0.3">
      <c r="B26" s="20" t="s">
        <v>15</v>
      </c>
      <c r="C26" s="20"/>
      <c r="D26" s="20"/>
      <c r="E26" s="20"/>
      <c r="F26" s="20"/>
      <c r="G26" s="20"/>
      <c r="H26" s="20"/>
      <c r="I26" s="20"/>
      <c r="J26" s="20"/>
    </row>
    <row r="27" spans="2:12" ht="14.15" customHeight="1" x14ac:dyDescent="0.3">
      <c r="B27" s="20"/>
      <c r="C27" s="20"/>
      <c r="D27" s="20"/>
      <c r="E27" s="20"/>
      <c r="F27" s="20"/>
      <c r="G27" s="20"/>
      <c r="H27" s="20"/>
      <c r="I27" s="20"/>
      <c r="J27" s="20"/>
    </row>
    <row r="28" spans="2:12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29" spans="2:12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1:E11"/>
    <mergeCell ref="C12:I12"/>
    <mergeCell ref="C13:I13"/>
    <mergeCell ref="B21:J23"/>
    <mergeCell ref="B26:J27"/>
    <mergeCell ref="B28:J29"/>
    <mergeCell ref="C14:I14"/>
    <mergeCell ref="C16:J16"/>
    <mergeCell ref="C17:E17"/>
    <mergeCell ref="C18:E18"/>
    <mergeCell ref="C19:E19"/>
    <mergeCell ref="C20:E20"/>
  </mergeCells>
  <pageMargins left="0.7" right="0.7" top="0.75" bottom="0.75" header="0.3" footer="0.3"/>
  <pageSetup paperSize="9" scale="7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8981-8AD8-48B4-8234-E5D940438380}">
  <sheetPr>
    <pageSetUpPr fitToPage="1"/>
  </sheetPr>
  <dimension ref="B2:L31"/>
  <sheetViews>
    <sheetView topLeftCell="A5" zoomScaleNormal="100" workbookViewId="0">
      <selection activeCell="L12" sqref="L1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3" t="s">
        <v>16</v>
      </c>
      <c r="C4" s="23"/>
      <c r="D4" s="24" t="s">
        <v>35</v>
      </c>
      <c r="E4" s="24"/>
      <c r="F4" s="24"/>
      <c r="G4" s="24"/>
      <c r="H4" s="25" t="s">
        <v>21</v>
      </c>
      <c r="I4" s="25"/>
      <c r="J4" s="8">
        <v>1</v>
      </c>
    </row>
    <row r="5" spans="2:10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45560</v>
      </c>
      <c r="J6" s="28"/>
    </row>
    <row r="7" spans="2:10" ht="20.149999999999999" customHeight="1" x14ac:dyDescent="0.3">
      <c r="B7" s="29" t="s">
        <v>3</v>
      </c>
      <c r="C7" s="29"/>
      <c r="D7" s="30" t="s">
        <v>33</v>
      </c>
      <c r="E7" s="30"/>
      <c r="F7" s="30"/>
      <c r="G7" s="30"/>
      <c r="H7" s="3" t="s">
        <v>17</v>
      </c>
      <c r="I7" s="27">
        <v>45560</v>
      </c>
      <c r="J7" s="28"/>
    </row>
    <row r="8" spans="2:10" ht="18.899999999999999" customHeight="1" x14ac:dyDescent="0.3">
      <c r="B8" s="20" t="s">
        <v>5</v>
      </c>
      <c r="C8" s="20"/>
      <c r="D8" s="21" t="s">
        <v>33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0" ht="15.5" x14ac:dyDescent="0.3">
      <c r="B11" s="4">
        <v>1</v>
      </c>
      <c r="C11" s="30" t="s">
        <v>29</v>
      </c>
      <c r="D11" s="30"/>
      <c r="E11" s="30"/>
      <c r="F11" s="5">
        <v>1</v>
      </c>
      <c r="G11" s="12">
        <v>35816</v>
      </c>
      <c r="H11" s="4" t="s">
        <v>24</v>
      </c>
      <c r="I11" s="13">
        <v>16</v>
      </c>
      <c r="J11" s="6">
        <f>F11*I11*G11</f>
        <v>573056</v>
      </c>
    </row>
    <row r="12" spans="2:10" ht="17.399999999999999" customHeight="1" x14ac:dyDescent="0.35">
      <c r="B12" s="17"/>
      <c r="C12" s="31" t="s">
        <v>18</v>
      </c>
      <c r="D12" s="31"/>
      <c r="E12" s="31"/>
      <c r="F12" s="31"/>
      <c r="G12" s="31"/>
      <c r="H12" s="31"/>
      <c r="I12" s="31"/>
      <c r="J12" s="19">
        <f>SUM(J11:J11)</f>
        <v>573056</v>
      </c>
    </row>
    <row r="13" spans="2:10" ht="17.399999999999999" customHeight="1" x14ac:dyDescent="0.35">
      <c r="B13" s="17"/>
      <c r="C13" s="32" t="s">
        <v>22</v>
      </c>
      <c r="D13" s="32"/>
      <c r="E13" s="32"/>
      <c r="F13" s="32"/>
      <c r="G13" s="32"/>
      <c r="H13" s="32"/>
      <c r="I13" s="32"/>
      <c r="J13" s="7">
        <v>0</v>
      </c>
    </row>
    <row r="14" spans="2:10" ht="17.399999999999999" customHeight="1" x14ac:dyDescent="0.35">
      <c r="B14" s="17"/>
      <c r="C14" s="32"/>
      <c r="D14" s="32"/>
      <c r="E14" s="32"/>
      <c r="F14" s="32"/>
      <c r="G14" s="32"/>
      <c r="H14" s="32"/>
      <c r="I14" s="32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19">
        <f>J12+J13+J14</f>
        <v>573056</v>
      </c>
    </row>
    <row r="16" spans="2:10" ht="15.5" x14ac:dyDescent="0.35">
      <c r="B16" s="8"/>
      <c r="C16" s="34" t="s">
        <v>36</v>
      </c>
      <c r="D16" s="34"/>
      <c r="E16" s="34"/>
      <c r="F16" s="34"/>
      <c r="G16" s="34"/>
      <c r="H16" s="34"/>
      <c r="I16" s="34"/>
      <c r="J16" s="34"/>
    </row>
    <row r="17" spans="2:12" ht="15.5" x14ac:dyDescent="0.35">
      <c r="B17" s="17"/>
      <c r="C17" s="24" t="s">
        <v>12</v>
      </c>
      <c r="D17" s="24"/>
      <c r="E17" s="24"/>
      <c r="F17" s="8"/>
      <c r="G17" s="8"/>
      <c r="H17" s="8"/>
      <c r="I17" s="8"/>
      <c r="J17" s="9">
        <v>0</v>
      </c>
    </row>
    <row r="18" spans="2:12" ht="15.5" x14ac:dyDescent="0.35">
      <c r="B18" s="17"/>
      <c r="C18" s="24" t="s">
        <v>20</v>
      </c>
      <c r="D18" s="24"/>
      <c r="E18" s="24"/>
      <c r="F18" s="8"/>
      <c r="G18" s="8"/>
      <c r="H18" s="8"/>
      <c r="I18" s="8"/>
      <c r="J18" s="9">
        <v>0</v>
      </c>
    </row>
    <row r="19" spans="2:12" ht="15.5" x14ac:dyDescent="0.35">
      <c r="B19" s="17"/>
      <c r="C19" s="24" t="s">
        <v>13</v>
      </c>
      <c r="D19" s="24"/>
      <c r="E19" s="24"/>
      <c r="F19" s="8"/>
      <c r="G19" s="8" t="s">
        <v>19</v>
      </c>
      <c r="H19" s="8"/>
      <c r="I19" s="8"/>
      <c r="J19" s="18">
        <f>J15</f>
        <v>573056</v>
      </c>
    </row>
    <row r="20" spans="2:12" ht="15.5" x14ac:dyDescent="0.35">
      <c r="B20" s="8"/>
      <c r="C20" s="24"/>
      <c r="D20" s="24"/>
      <c r="E20" s="24"/>
      <c r="F20" s="8"/>
      <c r="G20" s="8"/>
      <c r="H20" s="8"/>
      <c r="I20" s="8"/>
      <c r="J20" s="8"/>
      <c r="L20" s="11"/>
    </row>
    <row r="21" spans="2:12" x14ac:dyDescent="0.3">
      <c r="B21" s="21" t="s">
        <v>14</v>
      </c>
      <c r="C21" s="21"/>
      <c r="D21" s="21"/>
      <c r="E21" s="21"/>
      <c r="F21" s="21"/>
      <c r="G21" s="21"/>
      <c r="H21" s="21"/>
      <c r="I21" s="21"/>
      <c r="J21" s="21"/>
    </row>
    <row r="22" spans="2:12" x14ac:dyDescent="0.3">
      <c r="B22" s="21"/>
      <c r="C22" s="21"/>
      <c r="D22" s="21"/>
      <c r="E22" s="21"/>
      <c r="F22" s="21"/>
      <c r="G22" s="21"/>
      <c r="H22" s="21"/>
      <c r="I22" s="21"/>
      <c r="J22" s="21"/>
    </row>
    <row r="23" spans="2:12" x14ac:dyDescent="0.3">
      <c r="B23" s="21"/>
      <c r="C23" s="21"/>
      <c r="D23" s="21"/>
      <c r="E23" s="21"/>
      <c r="F23" s="21"/>
      <c r="G23" s="21"/>
      <c r="H23" s="21"/>
      <c r="I23" s="21"/>
      <c r="J23" s="21"/>
    </row>
    <row r="26" spans="2:12" ht="14.15" customHeight="1" x14ac:dyDescent="0.3">
      <c r="B26" s="20" t="s">
        <v>15</v>
      </c>
      <c r="C26" s="20"/>
      <c r="D26" s="20"/>
      <c r="E26" s="20"/>
      <c r="F26" s="20"/>
      <c r="G26" s="20"/>
      <c r="H26" s="20"/>
      <c r="I26" s="20"/>
      <c r="J26" s="20"/>
    </row>
    <row r="27" spans="2:12" ht="14.15" customHeight="1" x14ac:dyDescent="0.3">
      <c r="B27" s="20"/>
      <c r="C27" s="20"/>
      <c r="D27" s="20"/>
      <c r="E27" s="20"/>
      <c r="F27" s="20"/>
      <c r="G27" s="20"/>
      <c r="H27" s="20"/>
      <c r="I27" s="20"/>
      <c r="J27" s="20"/>
    </row>
    <row r="28" spans="2:12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29" spans="2:12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2:J2"/>
    <mergeCell ref="B4:C4"/>
    <mergeCell ref="D4:G4"/>
    <mergeCell ref="H4:I4"/>
    <mergeCell ref="B5:C5"/>
    <mergeCell ref="D5:J5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I12"/>
    <mergeCell ref="C13:I13"/>
    <mergeCell ref="B26:J27"/>
    <mergeCell ref="B28:J29"/>
    <mergeCell ref="C16:J16"/>
    <mergeCell ref="C17:E17"/>
    <mergeCell ref="C18:E18"/>
    <mergeCell ref="C19:E19"/>
    <mergeCell ref="C20:E20"/>
    <mergeCell ref="B21:J23"/>
  </mergeCells>
  <pageMargins left="0.7" right="0.7" top="0.75" bottom="0.75" header="0.3" footer="0.3"/>
  <pageSetup paperSize="9" scale="7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4AD0-BB02-4E0F-86F3-1F6F4C68B37F}">
  <sheetPr>
    <pageSetUpPr fitToPage="1"/>
  </sheetPr>
  <dimension ref="B2:L33"/>
  <sheetViews>
    <sheetView topLeftCell="A4" zoomScaleNormal="100" workbookViewId="0">
      <selection activeCell="C16" sqref="C16:I16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3" t="s">
        <v>16</v>
      </c>
      <c r="C4" s="23"/>
      <c r="D4" s="24" t="s">
        <v>27</v>
      </c>
      <c r="E4" s="24"/>
      <c r="F4" s="24"/>
      <c r="G4" s="24"/>
      <c r="H4" s="25" t="s">
        <v>21</v>
      </c>
      <c r="I4" s="25"/>
      <c r="J4" s="8">
        <v>2</v>
      </c>
    </row>
    <row r="5" spans="2:10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45560</v>
      </c>
      <c r="J6" s="28"/>
    </row>
    <row r="7" spans="2:10" ht="20.149999999999999" customHeight="1" x14ac:dyDescent="0.3">
      <c r="B7" s="29" t="s">
        <v>3</v>
      </c>
      <c r="C7" s="29"/>
      <c r="D7" s="30" t="s">
        <v>43</v>
      </c>
      <c r="E7" s="30"/>
      <c r="F7" s="30"/>
      <c r="G7" s="30"/>
      <c r="H7" s="3" t="s">
        <v>17</v>
      </c>
      <c r="I7" s="27">
        <v>45560</v>
      </c>
      <c r="J7" s="28"/>
    </row>
    <row r="8" spans="2:10" ht="18.899999999999999" customHeight="1" x14ac:dyDescent="0.3">
      <c r="B8" s="20" t="s">
        <v>5</v>
      </c>
      <c r="C8" s="20"/>
      <c r="D8" s="21" t="s">
        <v>28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0" ht="15.5" x14ac:dyDescent="0.3">
      <c r="B11" s="4">
        <v>1</v>
      </c>
      <c r="C11" s="30" t="s">
        <v>37</v>
      </c>
      <c r="D11" s="30"/>
      <c r="E11" s="30"/>
      <c r="F11" s="5">
        <v>1</v>
      </c>
      <c r="G11" s="12">
        <v>10022</v>
      </c>
      <c r="H11" s="4" t="s">
        <v>24</v>
      </c>
      <c r="I11" s="13">
        <v>16</v>
      </c>
      <c r="J11" s="6">
        <f>F11*I11*G11</f>
        <v>160352</v>
      </c>
    </row>
    <row r="12" spans="2:10" ht="15.5" x14ac:dyDescent="0.3">
      <c r="B12" s="4">
        <v>2</v>
      </c>
      <c r="C12" s="30" t="s">
        <v>38</v>
      </c>
      <c r="D12" s="30"/>
      <c r="E12" s="30"/>
      <c r="F12" s="5">
        <v>1</v>
      </c>
      <c r="G12" s="12">
        <v>2955</v>
      </c>
      <c r="H12" s="4" t="s">
        <v>24</v>
      </c>
      <c r="I12" s="13">
        <v>16</v>
      </c>
      <c r="J12" s="6">
        <f>F12*I12*G12</f>
        <v>47280</v>
      </c>
    </row>
    <row r="13" spans="2:10" ht="15.5" x14ac:dyDescent="0.3">
      <c r="B13" s="4">
        <v>3</v>
      </c>
      <c r="C13" s="30" t="s">
        <v>39</v>
      </c>
      <c r="D13" s="30"/>
      <c r="E13" s="30"/>
      <c r="F13" s="5">
        <v>1</v>
      </c>
      <c r="G13" s="12">
        <v>928</v>
      </c>
      <c r="H13" s="4" t="s">
        <v>24</v>
      </c>
      <c r="I13" s="13">
        <v>16</v>
      </c>
      <c r="J13" s="6">
        <f>F13*I13*G13</f>
        <v>14848</v>
      </c>
    </row>
    <row r="14" spans="2:10" ht="17.399999999999999" customHeight="1" x14ac:dyDescent="0.35">
      <c r="B14" s="17"/>
      <c r="C14" s="31" t="s">
        <v>18</v>
      </c>
      <c r="D14" s="31"/>
      <c r="E14" s="31"/>
      <c r="F14" s="31"/>
      <c r="G14" s="31"/>
      <c r="H14" s="31"/>
      <c r="I14" s="31"/>
      <c r="J14" s="19">
        <f>SUM(J11:J13)</f>
        <v>222480</v>
      </c>
    </row>
    <row r="15" spans="2:10" ht="17.399999999999999" customHeight="1" x14ac:dyDescent="0.35">
      <c r="B15" s="17"/>
      <c r="C15" s="32" t="s">
        <v>22</v>
      </c>
      <c r="D15" s="32"/>
      <c r="E15" s="32"/>
      <c r="F15" s="32"/>
      <c r="G15" s="32"/>
      <c r="H15" s="32"/>
      <c r="I15" s="32"/>
      <c r="J15" s="7">
        <v>0</v>
      </c>
    </row>
    <row r="16" spans="2:10" ht="17.399999999999999" customHeight="1" x14ac:dyDescent="0.35">
      <c r="B16" s="17"/>
      <c r="C16" s="32"/>
      <c r="D16" s="32"/>
      <c r="E16" s="32"/>
      <c r="F16" s="32"/>
      <c r="G16" s="32"/>
      <c r="H16" s="32"/>
      <c r="I16" s="32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19">
        <f>J14+J15+J16</f>
        <v>222480</v>
      </c>
    </row>
    <row r="18" spans="2:12" ht="15.5" x14ac:dyDescent="0.35">
      <c r="B18" s="8"/>
      <c r="C18" s="34" t="s">
        <v>40</v>
      </c>
      <c r="D18" s="34"/>
      <c r="E18" s="34"/>
      <c r="F18" s="34"/>
      <c r="G18" s="34"/>
      <c r="H18" s="34"/>
      <c r="I18" s="34"/>
      <c r="J18" s="34"/>
    </row>
    <row r="19" spans="2:12" ht="15.5" x14ac:dyDescent="0.35">
      <c r="B19" s="17"/>
      <c r="C19" s="24" t="s">
        <v>12</v>
      </c>
      <c r="D19" s="24"/>
      <c r="E19" s="24"/>
      <c r="F19" s="8"/>
      <c r="G19" s="8"/>
      <c r="H19" s="8"/>
      <c r="I19" s="8"/>
      <c r="J19" s="9">
        <v>0</v>
      </c>
    </row>
    <row r="20" spans="2:12" ht="15.5" x14ac:dyDescent="0.35">
      <c r="B20" s="17"/>
      <c r="C20" s="24" t="s">
        <v>20</v>
      </c>
      <c r="D20" s="24"/>
      <c r="E20" s="24"/>
      <c r="F20" s="8"/>
      <c r="G20" s="8"/>
      <c r="H20" s="8"/>
      <c r="I20" s="8"/>
      <c r="J20" s="9">
        <v>0</v>
      </c>
    </row>
    <row r="21" spans="2:12" ht="15.5" x14ac:dyDescent="0.35">
      <c r="B21" s="17"/>
      <c r="C21" s="24" t="s">
        <v>13</v>
      </c>
      <c r="D21" s="24"/>
      <c r="E21" s="24"/>
      <c r="F21" s="8"/>
      <c r="G21" s="8" t="s">
        <v>19</v>
      </c>
      <c r="H21" s="8"/>
      <c r="I21" s="8"/>
      <c r="J21" s="18">
        <f>J17</f>
        <v>222480</v>
      </c>
    </row>
    <row r="22" spans="2:12" ht="15.5" x14ac:dyDescent="0.35">
      <c r="B22" s="8"/>
      <c r="C22" s="24"/>
      <c r="D22" s="24"/>
      <c r="E22" s="24"/>
      <c r="F22" s="8"/>
      <c r="G22" s="8"/>
      <c r="H22" s="8"/>
      <c r="I22" s="8"/>
      <c r="J22" s="8"/>
      <c r="L22" s="11"/>
    </row>
    <row r="23" spans="2:12" x14ac:dyDescent="0.3">
      <c r="B23" s="21" t="s">
        <v>14</v>
      </c>
      <c r="C23" s="21"/>
      <c r="D23" s="21"/>
      <c r="E23" s="21"/>
      <c r="F23" s="21"/>
      <c r="G23" s="21"/>
      <c r="H23" s="21"/>
      <c r="I23" s="21"/>
      <c r="J23" s="21"/>
    </row>
    <row r="24" spans="2:12" x14ac:dyDescent="0.3">
      <c r="B24" s="21"/>
      <c r="C24" s="21"/>
      <c r="D24" s="21"/>
      <c r="E24" s="21"/>
      <c r="F24" s="21"/>
      <c r="G24" s="21"/>
      <c r="H24" s="21"/>
      <c r="I24" s="21"/>
      <c r="J24" s="21"/>
    </row>
    <row r="25" spans="2:12" x14ac:dyDescent="0.3">
      <c r="B25" s="21"/>
      <c r="C25" s="21"/>
      <c r="D25" s="21"/>
      <c r="E25" s="21"/>
      <c r="F25" s="21"/>
      <c r="G25" s="21"/>
      <c r="H25" s="21"/>
      <c r="I25" s="21"/>
      <c r="J25" s="21"/>
    </row>
    <row r="28" spans="2:12" ht="14.15" customHeight="1" x14ac:dyDescent="0.3">
      <c r="B28" s="20" t="s">
        <v>15</v>
      </c>
      <c r="C28" s="20"/>
      <c r="D28" s="20"/>
      <c r="E28" s="20"/>
      <c r="F28" s="20"/>
      <c r="G28" s="20"/>
      <c r="H28" s="20"/>
      <c r="I28" s="20"/>
      <c r="J28" s="20"/>
    </row>
    <row r="29" spans="2:12" ht="14.15" customHeight="1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x14ac:dyDescent="0.3">
      <c r="B30" s="20"/>
      <c r="C30" s="20"/>
      <c r="D30" s="20"/>
      <c r="E30" s="20"/>
      <c r="F30" s="20"/>
      <c r="G30" s="20"/>
      <c r="H30" s="20"/>
      <c r="I30" s="20"/>
      <c r="J30" s="20"/>
    </row>
    <row r="31" spans="2:12" x14ac:dyDescent="0.3">
      <c r="B31" s="20"/>
      <c r="C31" s="20"/>
      <c r="D31" s="20"/>
      <c r="E31" s="20"/>
      <c r="F31" s="20"/>
      <c r="G31" s="20"/>
      <c r="H31" s="20"/>
      <c r="I31" s="20"/>
      <c r="J31" s="20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3:E13"/>
    <mergeCell ref="C14:I14"/>
    <mergeCell ref="C15:I15"/>
    <mergeCell ref="B28:J29"/>
    <mergeCell ref="B30:J31"/>
    <mergeCell ref="C11:E11"/>
    <mergeCell ref="C12:E12"/>
    <mergeCell ref="C18:J18"/>
    <mergeCell ref="C19:E19"/>
    <mergeCell ref="C20:E20"/>
    <mergeCell ref="C21:E21"/>
    <mergeCell ref="C22:E22"/>
    <mergeCell ref="B23:J25"/>
    <mergeCell ref="C16:I16"/>
  </mergeCells>
  <pageMargins left="0.7" right="0.7" top="0.75" bottom="0.75" header="0.3" footer="0.3"/>
  <pageSetup paperSize="9" scale="7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C0AB-A839-400A-AA3E-102FD26454DA}">
  <sheetPr>
    <pageSetUpPr fitToPage="1"/>
  </sheetPr>
  <dimension ref="B2:L31"/>
  <sheetViews>
    <sheetView zoomScaleNormal="100" workbookViewId="0">
      <selection activeCell="L4" sqref="L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3" t="s">
        <v>16</v>
      </c>
      <c r="C4" s="23"/>
      <c r="D4" s="24" t="s">
        <v>27</v>
      </c>
      <c r="E4" s="24"/>
      <c r="F4" s="24"/>
      <c r="G4" s="24"/>
      <c r="H4" s="25" t="s">
        <v>21</v>
      </c>
      <c r="I4" s="25"/>
      <c r="J4" s="8"/>
    </row>
    <row r="5" spans="2:10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45565</v>
      </c>
      <c r="J6" s="28"/>
    </row>
    <row r="7" spans="2:10" ht="20.149999999999999" customHeight="1" x14ac:dyDescent="0.3">
      <c r="B7" s="29" t="s">
        <v>3</v>
      </c>
      <c r="C7" s="29"/>
      <c r="D7" s="30" t="s">
        <v>41</v>
      </c>
      <c r="E7" s="30"/>
      <c r="F7" s="30"/>
      <c r="G7" s="30"/>
      <c r="H7" s="3" t="s">
        <v>17</v>
      </c>
      <c r="I7" s="27">
        <v>45565</v>
      </c>
      <c r="J7" s="28"/>
    </row>
    <row r="8" spans="2:10" ht="18.899999999999999" customHeight="1" x14ac:dyDescent="0.3">
      <c r="B8" s="20" t="s">
        <v>5</v>
      </c>
      <c r="C8" s="20"/>
      <c r="D8" s="21" t="s">
        <v>41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0" ht="15.5" customHeight="1" x14ac:dyDescent="0.3">
      <c r="B11" s="4">
        <v>1</v>
      </c>
      <c r="C11" s="30" t="s">
        <v>29</v>
      </c>
      <c r="D11" s="30"/>
      <c r="E11" s="30"/>
      <c r="F11" s="5">
        <v>1</v>
      </c>
      <c r="G11" s="12">
        <v>29293</v>
      </c>
      <c r="H11" s="4" t="s">
        <v>24</v>
      </c>
      <c r="I11" s="13">
        <v>16</v>
      </c>
      <c r="J11" s="6">
        <f>F11*I11*G11</f>
        <v>468688</v>
      </c>
    </row>
    <row r="12" spans="2:10" ht="17.399999999999999" customHeight="1" x14ac:dyDescent="0.35">
      <c r="B12" s="17"/>
      <c r="C12" s="31" t="s">
        <v>18</v>
      </c>
      <c r="D12" s="31"/>
      <c r="E12" s="31"/>
      <c r="F12" s="31"/>
      <c r="G12" s="31"/>
      <c r="H12" s="31"/>
      <c r="I12" s="31"/>
      <c r="J12" s="19">
        <f>SUM(J11:J11)</f>
        <v>468688</v>
      </c>
    </row>
    <row r="13" spans="2:10" ht="17.399999999999999" customHeight="1" x14ac:dyDescent="0.35">
      <c r="B13" s="17"/>
      <c r="C13" s="32" t="s">
        <v>22</v>
      </c>
      <c r="D13" s="32"/>
      <c r="E13" s="32"/>
      <c r="F13" s="32"/>
      <c r="G13" s="32"/>
      <c r="H13" s="32"/>
      <c r="I13" s="32"/>
      <c r="J13" s="7">
        <v>0</v>
      </c>
    </row>
    <row r="14" spans="2:10" ht="17.399999999999999" customHeight="1" x14ac:dyDescent="0.35">
      <c r="B14" s="17"/>
      <c r="C14" s="32"/>
      <c r="D14" s="32"/>
      <c r="E14" s="32"/>
      <c r="F14" s="32"/>
      <c r="G14" s="32"/>
      <c r="H14" s="32"/>
      <c r="I14" s="32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19">
        <f>J12+J13+J14</f>
        <v>468688</v>
      </c>
    </row>
    <row r="16" spans="2:10" ht="15.5" x14ac:dyDescent="0.35">
      <c r="B16" s="8"/>
      <c r="C16" s="34" t="s">
        <v>42</v>
      </c>
      <c r="D16" s="34"/>
      <c r="E16" s="34"/>
      <c r="F16" s="34"/>
      <c r="G16" s="34"/>
      <c r="H16" s="34"/>
      <c r="I16" s="34"/>
      <c r="J16" s="34"/>
    </row>
    <row r="17" spans="2:12" ht="15.5" x14ac:dyDescent="0.35">
      <c r="B17" s="17"/>
      <c r="C17" s="24" t="s">
        <v>12</v>
      </c>
      <c r="D17" s="24"/>
      <c r="E17" s="24"/>
      <c r="F17" s="8"/>
      <c r="G17" s="8"/>
      <c r="H17" s="8"/>
      <c r="I17" s="8"/>
      <c r="J17" s="9">
        <v>0</v>
      </c>
    </row>
    <row r="18" spans="2:12" ht="15.5" x14ac:dyDescent="0.35">
      <c r="B18" s="17"/>
      <c r="C18" s="24" t="s">
        <v>20</v>
      </c>
      <c r="D18" s="24"/>
      <c r="E18" s="24"/>
      <c r="F18" s="8"/>
      <c r="G18" s="8"/>
      <c r="H18" s="8"/>
      <c r="I18" s="8"/>
      <c r="J18" s="9">
        <v>0</v>
      </c>
    </row>
    <row r="19" spans="2:12" ht="15.5" x14ac:dyDescent="0.35">
      <c r="B19" s="17"/>
      <c r="C19" s="24" t="s">
        <v>13</v>
      </c>
      <c r="D19" s="24"/>
      <c r="E19" s="24"/>
      <c r="F19" s="8"/>
      <c r="G19" s="8" t="s">
        <v>19</v>
      </c>
      <c r="H19" s="8"/>
      <c r="I19" s="8"/>
      <c r="J19" s="18">
        <f>J15</f>
        <v>468688</v>
      </c>
    </row>
    <row r="20" spans="2:12" ht="15.5" x14ac:dyDescent="0.35">
      <c r="B20" s="8"/>
      <c r="C20" s="24"/>
      <c r="D20" s="24"/>
      <c r="E20" s="24"/>
      <c r="F20" s="8"/>
      <c r="G20" s="8"/>
      <c r="H20" s="8"/>
      <c r="I20" s="8"/>
      <c r="J20" s="8"/>
      <c r="L20" s="11"/>
    </row>
    <row r="21" spans="2:12" x14ac:dyDescent="0.3">
      <c r="B21" s="21" t="s">
        <v>14</v>
      </c>
      <c r="C21" s="21"/>
      <c r="D21" s="21"/>
      <c r="E21" s="21"/>
      <c r="F21" s="21"/>
      <c r="G21" s="21"/>
      <c r="H21" s="21"/>
      <c r="I21" s="21"/>
      <c r="J21" s="21"/>
    </row>
    <row r="22" spans="2:12" x14ac:dyDescent="0.3">
      <c r="B22" s="21"/>
      <c r="C22" s="21"/>
      <c r="D22" s="21"/>
      <c r="E22" s="21"/>
      <c r="F22" s="21"/>
      <c r="G22" s="21"/>
      <c r="H22" s="21"/>
      <c r="I22" s="21"/>
      <c r="J22" s="21"/>
    </row>
    <row r="23" spans="2:12" x14ac:dyDescent="0.3">
      <c r="B23" s="21"/>
      <c r="C23" s="21"/>
      <c r="D23" s="21"/>
      <c r="E23" s="21"/>
      <c r="F23" s="21"/>
      <c r="G23" s="21"/>
      <c r="H23" s="21"/>
      <c r="I23" s="21"/>
      <c r="J23" s="21"/>
    </row>
    <row r="26" spans="2:12" ht="14.15" customHeight="1" x14ac:dyDescent="0.3">
      <c r="B26" s="20" t="s">
        <v>15</v>
      </c>
      <c r="C26" s="20"/>
      <c r="D26" s="20"/>
      <c r="E26" s="20"/>
      <c r="F26" s="20"/>
      <c r="G26" s="20"/>
      <c r="H26" s="20"/>
      <c r="I26" s="20"/>
      <c r="J26" s="20"/>
    </row>
    <row r="27" spans="2:12" ht="14.15" customHeight="1" x14ac:dyDescent="0.3">
      <c r="B27" s="20"/>
      <c r="C27" s="20"/>
      <c r="D27" s="20"/>
      <c r="E27" s="20"/>
      <c r="F27" s="20"/>
      <c r="G27" s="20"/>
      <c r="H27" s="20"/>
      <c r="I27" s="20"/>
      <c r="J27" s="20"/>
    </row>
    <row r="28" spans="2:12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29" spans="2:12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C20:E20"/>
    <mergeCell ref="B21:J23"/>
    <mergeCell ref="B26:J27"/>
    <mergeCell ref="B28:J29"/>
    <mergeCell ref="C13:I13"/>
    <mergeCell ref="C14:I14"/>
    <mergeCell ref="C16:J16"/>
    <mergeCell ref="C17:E17"/>
    <mergeCell ref="C18:E18"/>
    <mergeCell ref="C19:E19"/>
    <mergeCell ref="B9:J9"/>
    <mergeCell ref="C10:E10"/>
    <mergeCell ref="C11:E11"/>
    <mergeCell ref="C12:I12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0932-F9E7-4DC6-8B23-EF601DA8B7EA}">
  <sheetPr>
    <pageSetUpPr fitToPage="1"/>
  </sheetPr>
  <dimension ref="B2:L31"/>
  <sheetViews>
    <sheetView topLeftCell="A5" zoomScaleNormal="100" workbookViewId="0">
      <selection activeCell="B2" sqref="B2:J29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0" ht="15.65" customHeight="1" x14ac:dyDescent="0.35">
      <c r="B4" s="23" t="s">
        <v>16</v>
      </c>
      <c r="C4" s="23"/>
      <c r="D4" s="24" t="s">
        <v>27</v>
      </c>
      <c r="E4" s="24"/>
      <c r="F4" s="24"/>
      <c r="G4" s="24"/>
      <c r="H4" s="25" t="s">
        <v>21</v>
      </c>
      <c r="I4" s="25"/>
      <c r="J4" s="8"/>
    </row>
    <row r="5" spans="2:10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0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45666</v>
      </c>
      <c r="J6" s="28"/>
    </row>
    <row r="7" spans="2:10" ht="20.149999999999999" customHeight="1" x14ac:dyDescent="0.3">
      <c r="B7" s="29" t="s">
        <v>3</v>
      </c>
      <c r="C7" s="29"/>
      <c r="D7" s="30" t="s">
        <v>44</v>
      </c>
      <c r="E7" s="30"/>
      <c r="F7" s="30"/>
      <c r="G7" s="30"/>
      <c r="H7" s="3" t="s">
        <v>17</v>
      </c>
      <c r="I7" s="27">
        <v>45653</v>
      </c>
      <c r="J7" s="28"/>
    </row>
    <row r="8" spans="2:10" ht="18.899999999999999" customHeight="1" x14ac:dyDescent="0.3">
      <c r="B8" s="20" t="s">
        <v>5</v>
      </c>
      <c r="C8" s="20"/>
      <c r="D8" s="21" t="s">
        <v>44</v>
      </c>
      <c r="E8" s="21"/>
      <c r="F8" s="21"/>
      <c r="G8" s="21"/>
      <c r="H8" s="21"/>
      <c r="I8" s="21"/>
      <c r="J8" s="21"/>
    </row>
    <row r="9" spans="2:10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</row>
    <row r="10" spans="2:10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0" ht="15.5" customHeight="1" x14ac:dyDescent="0.3">
      <c r="B11" s="4">
        <v>1</v>
      </c>
      <c r="C11" s="30" t="s">
        <v>29</v>
      </c>
      <c r="D11" s="30"/>
      <c r="E11" s="30"/>
      <c r="F11" s="5">
        <v>1</v>
      </c>
      <c r="G11" s="12">
        <f>70704-29293</f>
        <v>41411</v>
      </c>
      <c r="H11" s="4" t="s">
        <v>24</v>
      </c>
      <c r="I11" s="13">
        <v>16</v>
      </c>
      <c r="J11" s="6">
        <f>F11*I11*G11</f>
        <v>662576</v>
      </c>
    </row>
    <row r="12" spans="2:10" ht="17.399999999999999" customHeight="1" x14ac:dyDescent="0.35">
      <c r="B12" s="17"/>
      <c r="C12" s="31" t="s">
        <v>18</v>
      </c>
      <c r="D12" s="31"/>
      <c r="E12" s="31"/>
      <c r="F12" s="31"/>
      <c r="G12" s="31"/>
      <c r="H12" s="31"/>
      <c r="I12" s="31"/>
      <c r="J12" s="19">
        <f>SUM(J11:J11)</f>
        <v>662576</v>
      </c>
    </row>
    <row r="13" spans="2:10" ht="17.399999999999999" customHeight="1" x14ac:dyDescent="0.35">
      <c r="B13" s="17"/>
      <c r="C13" s="32" t="s">
        <v>22</v>
      </c>
      <c r="D13" s="32"/>
      <c r="E13" s="32"/>
      <c r="F13" s="32"/>
      <c r="G13" s="32"/>
      <c r="H13" s="32"/>
      <c r="I13" s="32"/>
      <c r="J13" s="7">
        <v>0</v>
      </c>
    </row>
    <row r="14" spans="2:10" ht="17.399999999999999" customHeight="1" x14ac:dyDescent="0.35">
      <c r="B14" s="17"/>
      <c r="C14" s="32"/>
      <c r="D14" s="32"/>
      <c r="E14" s="32"/>
      <c r="F14" s="32"/>
      <c r="G14" s="32"/>
      <c r="H14" s="32"/>
      <c r="I14" s="32"/>
      <c r="J14" s="7"/>
    </row>
    <row r="15" spans="2:10" ht="17.399999999999999" customHeight="1" x14ac:dyDescent="0.35">
      <c r="B15" s="17"/>
      <c r="C15" s="14"/>
      <c r="D15" s="14"/>
      <c r="E15" s="14"/>
      <c r="F15" s="14"/>
      <c r="G15" s="14"/>
      <c r="H15" s="14"/>
      <c r="I15" s="14"/>
      <c r="J15" s="19">
        <f>J12+J13+J14</f>
        <v>662576</v>
      </c>
    </row>
    <row r="16" spans="2:10" ht="15.5" x14ac:dyDescent="0.35">
      <c r="B16" s="8"/>
      <c r="C16" s="34" t="s">
        <v>45</v>
      </c>
      <c r="D16" s="34"/>
      <c r="E16" s="34"/>
      <c r="F16" s="34"/>
      <c r="G16" s="34"/>
      <c r="H16" s="34"/>
      <c r="I16" s="34"/>
      <c r="J16" s="34"/>
    </row>
    <row r="17" spans="2:12" ht="15.5" x14ac:dyDescent="0.35">
      <c r="B17" s="17"/>
      <c r="C17" s="24" t="s">
        <v>12</v>
      </c>
      <c r="D17" s="24"/>
      <c r="E17" s="24"/>
      <c r="F17" s="8"/>
      <c r="G17" s="8"/>
      <c r="H17" s="8"/>
      <c r="I17" s="8"/>
      <c r="J17" s="9">
        <v>0</v>
      </c>
    </row>
    <row r="18" spans="2:12" ht="15.5" x14ac:dyDescent="0.35">
      <c r="B18" s="17"/>
      <c r="C18" s="24" t="s">
        <v>20</v>
      </c>
      <c r="D18" s="24"/>
      <c r="E18" s="24"/>
      <c r="F18" s="8"/>
      <c r="G18" s="8"/>
      <c r="H18" s="8"/>
      <c r="I18" s="8"/>
      <c r="J18" s="9">
        <v>0</v>
      </c>
    </row>
    <row r="19" spans="2:12" ht="15.5" x14ac:dyDescent="0.35">
      <c r="B19" s="17"/>
      <c r="C19" s="24" t="s">
        <v>13</v>
      </c>
      <c r="D19" s="24"/>
      <c r="E19" s="24"/>
      <c r="F19" s="8"/>
      <c r="G19" s="8" t="s">
        <v>19</v>
      </c>
      <c r="H19" s="8"/>
      <c r="I19" s="8"/>
      <c r="J19" s="18">
        <f>J15</f>
        <v>662576</v>
      </c>
    </row>
    <row r="20" spans="2:12" ht="15.5" x14ac:dyDescent="0.35">
      <c r="B20" s="8"/>
      <c r="C20" s="24"/>
      <c r="D20" s="24"/>
      <c r="E20" s="24"/>
      <c r="F20" s="8"/>
      <c r="G20" s="8"/>
      <c r="H20" s="8"/>
      <c r="I20" s="8"/>
      <c r="J20" s="8"/>
      <c r="L20" s="11"/>
    </row>
    <row r="21" spans="2:12" x14ac:dyDescent="0.3">
      <c r="B21" s="21" t="s">
        <v>14</v>
      </c>
      <c r="C21" s="21"/>
      <c r="D21" s="21"/>
      <c r="E21" s="21"/>
      <c r="F21" s="21"/>
      <c r="G21" s="21"/>
      <c r="H21" s="21"/>
      <c r="I21" s="21"/>
      <c r="J21" s="21"/>
    </row>
    <row r="22" spans="2:12" x14ac:dyDescent="0.3">
      <c r="B22" s="21"/>
      <c r="C22" s="21"/>
      <c r="D22" s="21"/>
      <c r="E22" s="21"/>
      <c r="F22" s="21"/>
      <c r="G22" s="21"/>
      <c r="H22" s="21"/>
      <c r="I22" s="21"/>
      <c r="J22" s="21"/>
    </row>
    <row r="23" spans="2:12" x14ac:dyDescent="0.3">
      <c r="B23" s="21"/>
      <c r="C23" s="21"/>
      <c r="D23" s="21"/>
      <c r="E23" s="21"/>
      <c r="F23" s="21"/>
      <c r="G23" s="21"/>
      <c r="H23" s="21"/>
      <c r="I23" s="21"/>
      <c r="J23" s="21"/>
    </row>
    <row r="26" spans="2:12" ht="14.15" customHeight="1" x14ac:dyDescent="0.3">
      <c r="B26" s="20" t="s">
        <v>15</v>
      </c>
      <c r="C26" s="20"/>
      <c r="D26" s="20"/>
      <c r="E26" s="20"/>
      <c r="F26" s="20"/>
      <c r="G26" s="20"/>
      <c r="H26" s="20"/>
      <c r="I26" s="20"/>
      <c r="J26" s="20"/>
    </row>
    <row r="27" spans="2:12" ht="14.15" customHeight="1" x14ac:dyDescent="0.3">
      <c r="B27" s="20"/>
      <c r="C27" s="20"/>
      <c r="D27" s="20"/>
      <c r="E27" s="20"/>
      <c r="F27" s="20"/>
      <c r="G27" s="20"/>
      <c r="H27" s="20"/>
      <c r="I27" s="20"/>
      <c r="J27" s="20"/>
    </row>
    <row r="28" spans="2:12" x14ac:dyDescent="0.3">
      <c r="B28" s="20"/>
      <c r="C28" s="20"/>
      <c r="D28" s="20"/>
      <c r="E28" s="20"/>
      <c r="F28" s="20"/>
      <c r="G28" s="20"/>
      <c r="H28" s="20"/>
      <c r="I28" s="20"/>
      <c r="J28" s="20"/>
    </row>
    <row r="29" spans="2:12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ht="15.5" x14ac:dyDescent="0.35">
      <c r="B30" s="8"/>
      <c r="C30" s="8"/>
      <c r="D30" s="8"/>
      <c r="E30" s="8"/>
      <c r="F30" s="8"/>
      <c r="G30" s="8"/>
      <c r="H30" s="8"/>
      <c r="I30" s="8"/>
      <c r="J30" s="8"/>
    </row>
    <row r="31" spans="2:12" ht="15.5" x14ac:dyDescent="0.35">
      <c r="B31" s="8"/>
      <c r="C31" s="8"/>
      <c r="D31" s="8"/>
      <c r="E31" s="8"/>
      <c r="F31" s="8"/>
      <c r="G31" s="8"/>
      <c r="H31" s="8"/>
      <c r="I31" s="8"/>
      <c r="J31" s="8"/>
    </row>
  </sheetData>
  <mergeCells count="27">
    <mergeCell ref="B26:J27"/>
    <mergeCell ref="B28:J29"/>
    <mergeCell ref="C16:J16"/>
    <mergeCell ref="C17:E17"/>
    <mergeCell ref="C18:E18"/>
    <mergeCell ref="C19:E19"/>
    <mergeCell ref="C20:E20"/>
    <mergeCell ref="B21:J23"/>
    <mergeCell ref="C14:I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I12"/>
    <mergeCell ref="C13:I13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1FA-6E69-4A1D-9AEF-C7C8AA9556A3}">
  <sheetPr>
    <pageSetUpPr fitToPage="1"/>
  </sheetPr>
  <dimension ref="B2:M33"/>
  <sheetViews>
    <sheetView topLeftCell="A4" zoomScaleNormal="100" workbookViewId="0">
      <selection activeCell="K9" sqref="K9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81640625" style="1" customWidth="1"/>
    <col min="11" max="11" width="8.6328125" style="1"/>
    <col min="12" max="12" width="11.08984375" style="1" bestFit="1" customWidth="1"/>
    <col min="13" max="13" width="10" style="1" bestFit="1" customWidth="1"/>
    <col min="14" max="16384" width="8.6328125" style="1"/>
  </cols>
  <sheetData>
    <row r="2" spans="2:13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3" ht="39" customHeight="1" x14ac:dyDescent="0.35">
      <c r="B3" s="16"/>
      <c r="C3" s="16"/>
      <c r="D3" s="16"/>
      <c r="E3" s="16"/>
      <c r="F3" s="16"/>
      <c r="G3" s="16"/>
      <c r="H3" s="16"/>
      <c r="I3" s="16"/>
      <c r="J3" s="16"/>
    </row>
    <row r="4" spans="2:13" ht="15.65" customHeight="1" x14ac:dyDescent="0.35">
      <c r="B4" s="23" t="s">
        <v>16</v>
      </c>
      <c r="C4" s="23"/>
      <c r="D4" s="24" t="s">
        <v>27</v>
      </c>
      <c r="E4" s="24"/>
      <c r="F4" s="24"/>
      <c r="G4" s="24"/>
      <c r="H4" s="25" t="s">
        <v>21</v>
      </c>
      <c r="I4" s="25"/>
      <c r="J4" s="8"/>
    </row>
    <row r="5" spans="2:13" ht="18.899999999999999" customHeight="1" x14ac:dyDescent="0.3">
      <c r="B5" s="20" t="s">
        <v>1</v>
      </c>
      <c r="C5" s="20"/>
      <c r="D5" s="21" t="s">
        <v>27</v>
      </c>
      <c r="E5" s="21"/>
      <c r="F5" s="21"/>
      <c r="G5" s="21"/>
      <c r="H5" s="21"/>
      <c r="I5" s="21"/>
      <c r="J5" s="21"/>
    </row>
    <row r="6" spans="2:13" ht="30.9" customHeight="1" x14ac:dyDescent="0.35">
      <c r="B6" s="26" t="s">
        <v>23</v>
      </c>
      <c r="C6" s="26"/>
      <c r="D6" s="26"/>
      <c r="E6" s="26"/>
      <c r="F6" s="26"/>
      <c r="G6" s="26"/>
      <c r="H6" s="10" t="s">
        <v>2</v>
      </c>
      <c r="I6" s="27">
        <v>45666</v>
      </c>
      <c r="J6" s="28"/>
    </row>
    <row r="7" spans="2:13" ht="20.149999999999999" customHeight="1" x14ac:dyDescent="0.3">
      <c r="B7" s="29" t="s">
        <v>3</v>
      </c>
      <c r="C7" s="29"/>
      <c r="D7" s="30" t="s">
        <v>46</v>
      </c>
      <c r="E7" s="30"/>
      <c r="F7" s="30"/>
      <c r="G7" s="30"/>
      <c r="H7" s="3" t="s">
        <v>17</v>
      </c>
      <c r="I7" s="27">
        <v>45655</v>
      </c>
      <c r="J7" s="28"/>
    </row>
    <row r="8" spans="2:13" ht="18.899999999999999" customHeight="1" x14ac:dyDescent="0.3">
      <c r="B8" s="20" t="s">
        <v>5</v>
      </c>
      <c r="C8" s="20"/>
      <c r="D8" s="21" t="s">
        <v>46</v>
      </c>
      <c r="E8" s="21"/>
      <c r="F8" s="21"/>
      <c r="G8" s="21"/>
      <c r="H8" s="21"/>
      <c r="I8" s="21"/>
      <c r="J8" s="21"/>
    </row>
    <row r="9" spans="2:13" ht="20.399999999999999" customHeight="1" x14ac:dyDescent="0.3">
      <c r="B9" s="20" t="s">
        <v>4</v>
      </c>
      <c r="C9" s="20"/>
      <c r="D9" s="20"/>
      <c r="E9" s="20"/>
      <c r="F9" s="20"/>
      <c r="G9" s="20"/>
      <c r="H9" s="20"/>
      <c r="I9" s="20"/>
      <c r="J9" s="20"/>
      <c r="M9" s="35"/>
    </row>
    <row r="10" spans="2:13" ht="30" x14ac:dyDescent="0.3">
      <c r="B10" s="2" t="s">
        <v>11</v>
      </c>
      <c r="C10" s="33" t="s">
        <v>6</v>
      </c>
      <c r="D10" s="33"/>
      <c r="E10" s="33"/>
      <c r="F10" s="3" t="s">
        <v>7</v>
      </c>
      <c r="G10" s="15" t="s">
        <v>8</v>
      </c>
      <c r="H10" s="15" t="s">
        <v>9</v>
      </c>
      <c r="I10" s="2" t="s">
        <v>25</v>
      </c>
      <c r="J10" s="14" t="s">
        <v>10</v>
      </c>
    </row>
    <row r="11" spans="2:13" ht="15.5" customHeight="1" x14ac:dyDescent="0.3">
      <c r="B11" s="4">
        <v>1</v>
      </c>
      <c r="C11" s="30" t="s">
        <v>47</v>
      </c>
      <c r="D11" s="30"/>
      <c r="E11" s="30"/>
      <c r="F11" s="5">
        <v>1</v>
      </c>
      <c r="G11" s="12">
        <v>2446</v>
      </c>
      <c r="H11" s="4" t="s">
        <v>24</v>
      </c>
      <c r="I11" s="13">
        <v>16</v>
      </c>
      <c r="J11" s="6">
        <f>F11*I11*G11</f>
        <v>39136</v>
      </c>
    </row>
    <row r="12" spans="2:13" ht="15.5" customHeight="1" x14ac:dyDescent="0.3">
      <c r="B12" s="4">
        <v>2</v>
      </c>
      <c r="C12" s="30" t="s">
        <v>48</v>
      </c>
      <c r="D12" s="30"/>
      <c r="E12" s="30"/>
      <c r="F12" s="5">
        <v>1</v>
      </c>
      <c r="G12" s="12">
        <v>779</v>
      </c>
      <c r="H12" s="4" t="s">
        <v>24</v>
      </c>
      <c r="I12" s="13">
        <v>16</v>
      </c>
      <c r="J12" s="6">
        <f>F12*I12*G12</f>
        <v>12464</v>
      </c>
    </row>
    <row r="13" spans="2:13" ht="15.5" customHeight="1" x14ac:dyDescent="0.3">
      <c r="B13" s="4">
        <v>3</v>
      </c>
      <c r="C13" s="30" t="s">
        <v>49</v>
      </c>
      <c r="D13" s="30"/>
      <c r="E13" s="30"/>
      <c r="F13" s="5">
        <v>1</v>
      </c>
      <c r="G13" s="12">
        <v>4359</v>
      </c>
      <c r="H13" s="4" t="s">
        <v>24</v>
      </c>
      <c r="I13" s="13">
        <v>16</v>
      </c>
      <c r="J13" s="6">
        <f>F13*I13*G13</f>
        <v>69744</v>
      </c>
    </row>
    <row r="14" spans="2:13" ht="17.399999999999999" customHeight="1" x14ac:dyDescent="0.35">
      <c r="B14" s="17"/>
      <c r="C14" s="31" t="s">
        <v>18</v>
      </c>
      <c r="D14" s="31"/>
      <c r="E14" s="31"/>
      <c r="F14" s="31"/>
      <c r="G14" s="31"/>
      <c r="H14" s="31"/>
      <c r="I14" s="31"/>
      <c r="J14" s="19">
        <f>SUM(J11:J13)</f>
        <v>121344</v>
      </c>
    </row>
    <row r="15" spans="2:13" ht="17.399999999999999" customHeight="1" x14ac:dyDescent="0.35">
      <c r="B15" s="17"/>
      <c r="C15" s="32" t="s">
        <v>22</v>
      </c>
      <c r="D15" s="32"/>
      <c r="E15" s="32"/>
      <c r="F15" s="32"/>
      <c r="G15" s="32"/>
      <c r="H15" s="32"/>
      <c r="I15" s="32"/>
      <c r="J15" s="7">
        <v>0</v>
      </c>
    </row>
    <row r="16" spans="2:13" ht="17.399999999999999" customHeight="1" x14ac:dyDescent="0.35">
      <c r="B16" s="17"/>
      <c r="C16" s="32"/>
      <c r="D16" s="32"/>
      <c r="E16" s="32"/>
      <c r="F16" s="32"/>
      <c r="G16" s="32"/>
      <c r="H16" s="32"/>
      <c r="I16" s="32"/>
      <c r="J16" s="7"/>
    </row>
    <row r="17" spans="2:12" ht="17.399999999999999" customHeight="1" x14ac:dyDescent="0.35">
      <c r="B17" s="17"/>
      <c r="C17" s="14"/>
      <c r="D17" s="14"/>
      <c r="E17" s="14"/>
      <c r="F17" s="14"/>
      <c r="G17" s="14"/>
      <c r="H17" s="14"/>
      <c r="I17" s="14"/>
      <c r="J17" s="19">
        <f>J14+J15+J16</f>
        <v>121344</v>
      </c>
    </row>
    <row r="18" spans="2:12" ht="15.5" x14ac:dyDescent="0.35">
      <c r="B18" s="8"/>
      <c r="C18" s="34" t="s">
        <v>50</v>
      </c>
      <c r="D18" s="34"/>
      <c r="E18" s="34"/>
      <c r="F18" s="34"/>
      <c r="G18" s="34"/>
      <c r="H18" s="34"/>
      <c r="I18" s="34"/>
      <c r="J18" s="34"/>
    </row>
    <row r="19" spans="2:12" ht="15.5" x14ac:dyDescent="0.35">
      <c r="B19" s="17"/>
      <c r="C19" s="24" t="s">
        <v>12</v>
      </c>
      <c r="D19" s="24"/>
      <c r="E19" s="24"/>
      <c r="F19" s="8"/>
      <c r="G19" s="8"/>
      <c r="H19" s="8"/>
      <c r="I19" s="8"/>
      <c r="J19" s="9">
        <v>0</v>
      </c>
    </row>
    <row r="20" spans="2:12" ht="15.5" x14ac:dyDescent="0.35">
      <c r="B20" s="17"/>
      <c r="C20" s="24" t="s">
        <v>20</v>
      </c>
      <c r="D20" s="24"/>
      <c r="E20" s="24"/>
      <c r="F20" s="8"/>
      <c r="G20" s="8"/>
      <c r="H20" s="8"/>
      <c r="I20" s="8"/>
      <c r="J20" s="9">
        <v>0</v>
      </c>
    </row>
    <row r="21" spans="2:12" ht="15.5" x14ac:dyDescent="0.35">
      <c r="B21" s="17"/>
      <c r="C21" s="24" t="s">
        <v>13</v>
      </c>
      <c r="D21" s="24"/>
      <c r="E21" s="24"/>
      <c r="F21" s="8"/>
      <c r="G21" s="8" t="s">
        <v>19</v>
      </c>
      <c r="H21" s="8"/>
      <c r="I21" s="8"/>
      <c r="J21" s="18">
        <f>J17</f>
        <v>121344</v>
      </c>
    </row>
    <row r="22" spans="2:12" ht="15.5" x14ac:dyDescent="0.35">
      <c r="B22" s="8"/>
      <c r="C22" s="24"/>
      <c r="D22" s="24"/>
      <c r="E22" s="24"/>
      <c r="F22" s="8"/>
      <c r="G22" s="8"/>
      <c r="H22" s="8"/>
      <c r="I22" s="8"/>
      <c r="J22" s="8"/>
      <c r="L22" s="11"/>
    </row>
    <row r="23" spans="2:12" x14ac:dyDescent="0.3">
      <c r="B23" s="21" t="s">
        <v>14</v>
      </c>
      <c r="C23" s="21"/>
      <c r="D23" s="21"/>
      <c r="E23" s="21"/>
      <c r="F23" s="21"/>
      <c r="G23" s="21"/>
      <c r="H23" s="21"/>
      <c r="I23" s="21"/>
      <c r="J23" s="21"/>
    </row>
    <row r="24" spans="2:12" x14ac:dyDescent="0.3">
      <c r="B24" s="21"/>
      <c r="C24" s="21"/>
      <c r="D24" s="21"/>
      <c r="E24" s="21"/>
      <c r="F24" s="21"/>
      <c r="G24" s="21"/>
      <c r="H24" s="21"/>
      <c r="I24" s="21"/>
      <c r="J24" s="21"/>
    </row>
    <row r="25" spans="2:12" x14ac:dyDescent="0.3">
      <c r="B25" s="21"/>
      <c r="C25" s="21"/>
      <c r="D25" s="21"/>
      <c r="E25" s="21"/>
      <c r="F25" s="21"/>
      <c r="G25" s="21"/>
      <c r="H25" s="21"/>
      <c r="I25" s="21"/>
      <c r="J25" s="21"/>
    </row>
    <row r="28" spans="2:12" ht="14.15" customHeight="1" x14ac:dyDescent="0.3">
      <c r="B28" s="20" t="s">
        <v>15</v>
      </c>
      <c r="C28" s="20"/>
      <c r="D28" s="20"/>
      <c r="E28" s="20"/>
      <c r="F28" s="20"/>
      <c r="G28" s="20"/>
      <c r="H28" s="20"/>
      <c r="I28" s="20"/>
      <c r="J28" s="20"/>
    </row>
    <row r="29" spans="2:12" ht="14.15" customHeight="1" x14ac:dyDescent="0.3">
      <c r="B29" s="20"/>
      <c r="C29" s="20"/>
      <c r="D29" s="20"/>
      <c r="E29" s="20"/>
      <c r="F29" s="20"/>
      <c r="G29" s="20"/>
      <c r="H29" s="20"/>
      <c r="I29" s="20"/>
      <c r="J29" s="20"/>
    </row>
    <row r="30" spans="2:12" x14ac:dyDescent="0.3">
      <c r="B30" s="20"/>
      <c r="C30" s="20"/>
      <c r="D30" s="20"/>
      <c r="E30" s="20"/>
      <c r="F30" s="20"/>
      <c r="G30" s="20"/>
      <c r="H30" s="20"/>
      <c r="I30" s="20"/>
      <c r="J30" s="20"/>
    </row>
    <row r="31" spans="2:12" x14ac:dyDescent="0.3">
      <c r="B31" s="20"/>
      <c r="C31" s="20"/>
      <c r="D31" s="20"/>
      <c r="E31" s="20"/>
      <c r="F31" s="20"/>
      <c r="G31" s="20"/>
      <c r="H31" s="20"/>
      <c r="I31" s="20"/>
      <c r="J31" s="20"/>
    </row>
    <row r="32" spans="2:12" ht="15.5" x14ac:dyDescent="0.35">
      <c r="B32" s="8"/>
      <c r="C32" s="8"/>
      <c r="D32" s="8"/>
      <c r="E32" s="8"/>
      <c r="F32" s="8"/>
      <c r="G32" s="8"/>
      <c r="H32" s="8"/>
      <c r="I32" s="8"/>
      <c r="J32" s="8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</sheetData>
  <mergeCells count="29">
    <mergeCell ref="B28:J29"/>
    <mergeCell ref="B30:J31"/>
    <mergeCell ref="C11:E11"/>
    <mergeCell ref="C12:E12"/>
    <mergeCell ref="C18:J18"/>
    <mergeCell ref="C19:E19"/>
    <mergeCell ref="C20:E20"/>
    <mergeCell ref="C21:E21"/>
    <mergeCell ref="C22:E22"/>
    <mergeCell ref="B23:J25"/>
    <mergeCell ref="C16:I16"/>
    <mergeCell ref="B9:J9"/>
    <mergeCell ref="C10:E10"/>
    <mergeCell ref="C13:E13"/>
    <mergeCell ref="C14:I14"/>
    <mergeCell ref="C15:I15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2025-01-09T12:21:46Z</cp:lastPrinted>
  <dcterms:created xsi:type="dcterms:W3CDTF">2017-06-28T08:31:23Z</dcterms:created>
  <dcterms:modified xsi:type="dcterms:W3CDTF">2025-09-22T11:25:02Z</dcterms:modified>
</cp:coreProperties>
</file>