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9280DEEE-8070-4ADA-98A7-E907445D60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l-1" sheetId="5" r:id="rId1"/>
    <sheet name="Bill-2" sheetId="6" r:id="rId2"/>
    <sheet name="Bill-3" sheetId="7" r:id="rId3"/>
    <sheet name="Bill-4" sheetId="8" r:id="rId4"/>
    <sheet name="Bill-5" sheetId="9" r:id="rId5"/>
    <sheet name="Bill-6" sheetId="10" r:id="rId6"/>
    <sheet name="Sheet3" sheetId="3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5" l="1"/>
  <c r="O34" i="5"/>
  <c r="O22" i="5"/>
  <c r="M18" i="8"/>
  <c r="M19" i="8"/>
  <c r="M20" i="8"/>
  <c r="M21" i="8"/>
  <c r="M22" i="8"/>
  <c r="M23" i="8"/>
  <c r="M14" i="10"/>
  <c r="M13" i="10"/>
  <c r="M12" i="10"/>
  <c r="M11" i="10"/>
  <c r="M19" i="9"/>
  <c r="M18" i="9"/>
  <c r="M17" i="9"/>
  <c r="M16" i="9"/>
  <c r="J14" i="9"/>
  <c r="M14" i="9" s="1"/>
  <c r="M17" i="8"/>
  <c r="M16" i="8"/>
  <c r="M15" i="8"/>
  <c r="M14" i="8"/>
  <c r="M13" i="8"/>
  <c r="M12" i="8"/>
  <c r="M21" i="9"/>
  <c r="M20" i="9"/>
  <c r="M15" i="9"/>
  <c r="M13" i="9"/>
  <c r="M12" i="9"/>
  <c r="M11" i="9"/>
  <c r="M11" i="8"/>
  <c r="M18" i="7"/>
  <c r="M17" i="7"/>
  <c r="M16" i="7"/>
  <c r="M15" i="7"/>
  <c r="M14" i="7"/>
  <c r="M13" i="7"/>
  <c r="M12" i="7"/>
  <c r="M11" i="7"/>
  <c r="J11" i="6"/>
  <c r="M20" i="6"/>
  <c r="M19" i="6"/>
  <c r="M18" i="6"/>
  <c r="M17" i="6"/>
  <c r="M16" i="6"/>
  <c r="M15" i="6"/>
  <c r="M14" i="6"/>
  <c r="M13" i="6"/>
  <c r="M12" i="6"/>
  <c r="M11" i="6"/>
  <c r="M21" i="5"/>
  <c r="J19" i="5"/>
  <c r="J18" i="5"/>
  <c r="M15" i="10" l="1"/>
  <c r="M22" i="9"/>
  <c r="M24" i="9" s="1"/>
  <c r="M24" i="8"/>
  <c r="M25" i="8" s="1"/>
  <c r="M19" i="7"/>
  <c r="M20" i="7"/>
  <c r="M21" i="7"/>
  <c r="M21" i="6"/>
  <c r="M13" i="5"/>
  <c r="M14" i="5"/>
  <c r="M15" i="5"/>
  <c r="M16" i="5"/>
  <c r="M17" i="5"/>
  <c r="M18" i="5"/>
  <c r="M19" i="5"/>
  <c r="M20" i="5"/>
  <c r="M12" i="5"/>
  <c r="M11" i="5"/>
  <c r="M26" i="8" l="1"/>
  <c r="M17" i="10"/>
  <c r="M16" i="10"/>
  <c r="M19" i="10" s="1"/>
  <c r="M23" i="10" s="1"/>
  <c r="M23" i="9"/>
  <c r="M26" i="9" s="1"/>
  <c r="M30" i="9" s="1"/>
  <c r="M28" i="8"/>
  <c r="M32" i="8" s="1"/>
  <c r="M23" i="7"/>
  <c r="M27" i="7"/>
  <c r="M23" i="6"/>
  <c r="M22" i="6"/>
  <c r="M23" i="5"/>
  <c r="M25" i="6" l="1"/>
  <c r="M28" i="6" s="1"/>
  <c r="M29" i="6" s="1"/>
  <c r="M22" i="5"/>
  <c r="M25" i="5" s="1"/>
  <c r="M28" i="5" s="1"/>
  <c r="M29" i="5" s="1"/>
</calcChain>
</file>

<file path=xl/sharedStrings.xml><?xml version="1.0" encoding="utf-8"?>
<sst xmlns="http://schemas.openxmlformats.org/spreadsheetml/2006/main" count="292" uniqueCount="87">
  <si>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</si>
  <si>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</si>
  <si>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</si>
  <si>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</si>
  <si>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</si>
  <si>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</si>
  <si>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</si>
  <si>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</si>
  <si>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</si>
  <si>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</si>
  <si>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</si>
  <si>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</si>
  <si>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</si>
  <si>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</si>
  <si>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</si>
  <si>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</si>
  <si>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</si>
  <si>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</si>
  <si>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</si>
  <si>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</si>
  <si>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</si>
  <si>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</si>
  <si>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</si>
  <si>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</si>
  <si>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Abdullah Ibarahim</t>
  </si>
  <si>
    <t>Rahemanbhai</t>
  </si>
  <si>
    <t>Colour, Internal putty and Primer work</t>
  </si>
  <si>
    <t>Colour work in labour</t>
  </si>
  <si>
    <t>Sq.ft.</t>
  </si>
  <si>
    <t>To, 
Tanvi Infracon - Revanta Project</t>
  </si>
  <si>
    <t>D &amp; E- Building Outer Colour Work</t>
  </si>
  <si>
    <t>D &amp; E- Building Duct wall and Pipe One coat primer and Two coat Colour work</t>
  </si>
  <si>
    <t>C- Building Outer Primer Work (Two Coat)</t>
  </si>
  <si>
    <t xml:space="preserve">C- Building Duct wall and Pipe One coat primer </t>
  </si>
  <si>
    <t>D &amp; E- Building Lift and Passage Ceiling One coat Colour work</t>
  </si>
  <si>
    <t>D &amp; E- Building Staircase and Balcony Putty and One Coat Primer work</t>
  </si>
  <si>
    <t>D &amp; E- Building Texture One coat Primer work</t>
  </si>
  <si>
    <t>D- Building One Coat Internal Primer work in Flat</t>
  </si>
  <si>
    <t>E- Building One Coat Internal Primer work in Flat</t>
  </si>
  <si>
    <t>C, D and E Internal Primer Lift Duct One coat Primer work</t>
  </si>
  <si>
    <t>Twelve Lakh Sixty Four Thousand One Hundred Twenty Four Only</t>
  </si>
  <si>
    <t>C- Building Internal Single coat primer (44 Flats)</t>
  </si>
  <si>
    <t>C- Building Staircase Duct Final Colour Work</t>
  </si>
  <si>
    <t xml:space="preserve">C- Building Staircase Ceiling Birla Putty Two Coat </t>
  </si>
  <si>
    <t>C- Building One Coat Colour Work</t>
  </si>
  <si>
    <t>D &amp; E Building Duct Grill Final Colour Work</t>
  </si>
  <si>
    <t>D &amp; E- Building Lift Passage Putty and One Coat Colour work</t>
  </si>
  <si>
    <t>D &amp; E- Building Staircase ceiling one coat colour work</t>
  </si>
  <si>
    <t>D &amp; E Staircaase Texture One Coat Colour Work</t>
  </si>
  <si>
    <t>D &amp; E Building Terrace Staircase One coat Primer and Colour Work</t>
  </si>
  <si>
    <t>Six Lakh Thirty Seven Thousand Five Hundred Thirty Two Only</t>
  </si>
  <si>
    <t>A &amp; B Building Two Coat Primer One Coat Colour</t>
  </si>
  <si>
    <t>A &amp; B Building Duct Colour and Pipe Colour Two Coat Primer One coat Colour</t>
  </si>
  <si>
    <t>A, B, C Building duct platform oil paint work</t>
  </si>
  <si>
    <t>C- Building Staircase and balcony Two coat ceiling putty work and one coat colour</t>
  </si>
  <si>
    <t>C- Building Staircase ceiling Two coat Putty and one coat colour work</t>
  </si>
  <si>
    <t xml:space="preserve">C- Building Staircase Ceiling One coat colour </t>
  </si>
  <si>
    <t>C- Building Lift Passage Putty work</t>
  </si>
  <si>
    <t>C- Building Texture wall One coat colour</t>
  </si>
  <si>
    <t>Five Lakh Ninty Eight Thousand One Hundred Eighty Seven Only</t>
  </si>
  <si>
    <t>Basement-1 Birla Putty work</t>
  </si>
  <si>
    <t>Basement-2 Birla Putty work</t>
  </si>
  <si>
    <t>Basement 1 &amp; 2 Ceiling white colour one coat work</t>
  </si>
  <si>
    <t>D- Building Internal Primer Final coat work</t>
  </si>
  <si>
    <t>E- Building Internal Primer Final coat work</t>
  </si>
  <si>
    <t>D- Building Creak filling work</t>
  </si>
  <si>
    <t>Nos.</t>
  </si>
  <si>
    <t>E- Building Creak filling work</t>
  </si>
  <si>
    <t>Nine Lakh Fourty Three Thousand Five Hundred Ten Only</t>
  </si>
  <si>
    <t>D &amp; E Building Staircase Birla putty Colour work</t>
  </si>
  <si>
    <t>D &amp; E Building Lift Passage Ceiling final colour work</t>
  </si>
  <si>
    <t>D &amp; E Building staircase texture final colour work</t>
  </si>
  <si>
    <t>B- Building Internal Primer one coat (24 Flats)</t>
  </si>
  <si>
    <t>A &amp; B Building Staircase and Balcony Birla putty work</t>
  </si>
  <si>
    <t xml:space="preserve">A &amp; B Building Lift primer One coat </t>
  </si>
  <si>
    <t>D &amp; E Building Lift passage wall colour work</t>
  </si>
  <si>
    <t>D &amp; E Building Terrace Staircase wall colour work</t>
  </si>
  <si>
    <t>A, B, D, E Staircase base grill colour</t>
  </si>
  <si>
    <t>A, B, C, D &amp; E - Building Entry ceiling birla putty work (26 + 52 Flats)</t>
  </si>
  <si>
    <t>C- Building Internal Creak filling work</t>
  </si>
  <si>
    <t>Flats</t>
  </si>
  <si>
    <t>Five Lakh Fifty Three Thousand Sixty Three Only</t>
  </si>
  <si>
    <t>Basement Ceiling Final Colour work</t>
  </si>
  <si>
    <t>D &amp; E- Building Final Outer Colour Work</t>
  </si>
  <si>
    <t>C- Building Outer Colour Work</t>
  </si>
  <si>
    <t>C- Building Internal Primer Final</t>
  </si>
  <si>
    <t>Five Lakh Fifty Thousand Thirty Seven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</si>
</sst>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43" fontId="2" fillId="0" borderId="0" xfId="0" applyNumberFormat="1" applyFont="1"/>
    <xf numFmtId="165" fontId="2" fillId="0" borderId="0" xfId="0" applyNumberFormat="1" applyFont="1"/>
    <xf numFmtId="165" fontId="5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tudio%2013\Project%20management\Pramukh%20Revanta\Payment%20certificate\Raffikbhai.xlsx" TargetMode="External"/><Relationship Id="rId1" Type="http://schemas.openxmlformats.org/officeDocument/2006/relationships/externalLinkPath" Target="Raffikbh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41"/>
  <sheetViews>
    <sheetView tabSelected="1" topLeftCell="B10" workbookViewId="0">
      <selection activeCell="O34" sqref="O34:O35"/>
    </sheetView>
  </sheetViews>
  <sheetFormatPr defaultColWidth="8.6328125" defaultRowHeight="14" x14ac:dyDescent="0.3"/>
  <cols>
    <col min="1" max="1" width="8.6328125" style="1"/>
    <col min="2" max="2" width="11.36328125" style="1" bestFit="1" customWidth="1"/>
    <col min="3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3.7265625" style="1" customWidth="1"/>
    <col min="14" max="14" width="8.6328125" style="1"/>
    <col min="15" max="15" width="11.453125" style="1" bestFit="1" customWidth="1"/>
    <col min="16" max="16384" width="8.6328125" style="1"/>
  </cols>
  <sheetData>
    <row r="2" spans="5:13" ht="17.5" x14ac:dyDescent="0.35">
      <c r="E2" s="21" t="s">
        <v>0</v>
      </c>
      <c r="F2" s="21"/>
      <c r="G2" s="21"/>
      <c r="H2" s="21"/>
      <c r="I2" s="21"/>
      <c r="J2" s="21"/>
      <c r="K2" s="21"/>
      <c r="L2" s="21"/>
      <c r="M2" s="2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2" t="s">
        <v>16</v>
      </c>
      <c r="F4" s="22"/>
      <c r="G4" s="23" t="s">
        <v>24</v>
      </c>
      <c r="H4" s="23"/>
      <c r="I4" s="23"/>
      <c r="J4" s="23"/>
      <c r="K4" s="24" t="s">
        <v>19</v>
      </c>
      <c r="L4" s="24"/>
      <c r="M4" s="7">
        <v>5</v>
      </c>
    </row>
    <row r="5" spans="5:13" ht="18.899999999999999" customHeight="1" x14ac:dyDescent="0.3">
      <c r="E5" s="25" t="s">
        <v>1</v>
      </c>
      <c r="F5" s="25"/>
      <c r="G5" s="26" t="s">
        <v>25</v>
      </c>
      <c r="H5" s="26"/>
      <c r="I5" s="26"/>
      <c r="J5" s="26"/>
      <c r="K5" s="26"/>
      <c r="L5" s="26"/>
      <c r="M5" s="26"/>
    </row>
    <row r="6" spans="5:13" ht="30.9" customHeight="1" x14ac:dyDescent="0.35">
      <c r="E6" s="27" t="s">
        <v>29</v>
      </c>
      <c r="F6" s="27"/>
      <c r="G6" s="27"/>
      <c r="H6" s="27"/>
      <c r="I6" s="27"/>
      <c r="J6" s="27"/>
      <c r="K6" s="8" t="s">
        <v>2</v>
      </c>
      <c r="L6" s="28">
        <v>45521</v>
      </c>
      <c r="M6" s="29"/>
    </row>
    <row r="7" spans="5:13" ht="20.149999999999999" customHeight="1" x14ac:dyDescent="0.3">
      <c r="E7" s="30" t="s">
        <v>3</v>
      </c>
      <c r="F7" s="30"/>
      <c r="G7" s="31" t="s">
        <v>26</v>
      </c>
      <c r="H7" s="31"/>
      <c r="I7" s="31"/>
      <c r="J7" s="31"/>
      <c r="K7" s="14" t="s">
        <v>17</v>
      </c>
      <c r="L7" s="28">
        <v>45514</v>
      </c>
      <c r="M7" s="29"/>
    </row>
    <row r="8" spans="5:13" ht="18.899999999999999" customHeight="1" x14ac:dyDescent="0.3">
      <c r="E8" s="25" t="s">
        <v>5</v>
      </c>
      <c r="F8" s="25"/>
      <c r="G8" s="26" t="s">
        <v>27</v>
      </c>
      <c r="H8" s="26"/>
      <c r="I8" s="26"/>
      <c r="J8" s="26"/>
      <c r="K8" s="26"/>
      <c r="L8" s="26"/>
      <c r="M8" s="26"/>
    </row>
    <row r="9" spans="5:13" ht="20.399999999999999" customHeight="1" x14ac:dyDescent="0.3">
      <c r="E9" s="25" t="s">
        <v>4</v>
      </c>
      <c r="F9" s="25"/>
      <c r="G9" s="25"/>
      <c r="H9" s="25"/>
      <c r="I9" s="25"/>
      <c r="J9" s="25"/>
      <c r="K9" s="25"/>
      <c r="L9" s="25"/>
      <c r="M9" s="25"/>
    </row>
    <row r="10" spans="5:13" ht="30" x14ac:dyDescent="0.3">
      <c r="E10" s="2" t="s">
        <v>12</v>
      </c>
      <c r="F10" s="32" t="s">
        <v>6</v>
      </c>
      <c r="G10" s="32"/>
      <c r="H10" s="32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5.5" x14ac:dyDescent="0.3">
      <c r="E11" s="4">
        <v>1</v>
      </c>
      <c r="F11" s="31" t="s">
        <v>30</v>
      </c>
      <c r="G11" s="31"/>
      <c r="H11" s="31"/>
      <c r="I11" s="5">
        <v>1</v>
      </c>
      <c r="J11" s="12">
        <v>87640</v>
      </c>
      <c r="K11" s="17" t="s">
        <v>28</v>
      </c>
      <c r="L11" s="4">
        <v>4.5</v>
      </c>
      <c r="M11" s="9">
        <f>L11*J11*I11</f>
        <v>394380</v>
      </c>
    </row>
    <row r="12" spans="5:13" ht="31.5" customHeight="1" x14ac:dyDescent="0.3">
      <c r="E12" s="4">
        <v>2</v>
      </c>
      <c r="F12" s="31" t="s">
        <v>31</v>
      </c>
      <c r="G12" s="31"/>
      <c r="H12" s="31"/>
      <c r="I12" s="5">
        <v>1</v>
      </c>
      <c r="J12" s="12">
        <v>27739</v>
      </c>
      <c r="K12" s="17" t="s">
        <v>28</v>
      </c>
      <c r="L12" s="4">
        <v>3.5</v>
      </c>
      <c r="M12" s="9">
        <f>L12*J12*I12</f>
        <v>97086.5</v>
      </c>
    </row>
    <row r="13" spans="5:13" ht="15.5" x14ac:dyDescent="0.3">
      <c r="E13" s="4">
        <v>3</v>
      </c>
      <c r="F13" s="31" t="s">
        <v>32</v>
      </c>
      <c r="G13" s="31"/>
      <c r="H13" s="31"/>
      <c r="I13" s="5">
        <v>1</v>
      </c>
      <c r="J13" s="12">
        <v>85484</v>
      </c>
      <c r="K13" s="17" t="s">
        <v>28</v>
      </c>
      <c r="L13" s="4">
        <v>2</v>
      </c>
      <c r="M13" s="9">
        <f t="shared" ref="M13:M20" si="0">L13*J13*I13</f>
        <v>170968</v>
      </c>
    </row>
    <row r="14" spans="5:13" ht="15.5" x14ac:dyDescent="0.3">
      <c r="E14" s="4">
        <v>4</v>
      </c>
      <c r="F14" s="31" t="s">
        <v>33</v>
      </c>
      <c r="G14" s="31"/>
      <c r="H14" s="31"/>
      <c r="I14" s="5">
        <v>1</v>
      </c>
      <c r="J14" s="12">
        <v>20298</v>
      </c>
      <c r="K14" s="17" t="s">
        <v>28</v>
      </c>
      <c r="L14" s="4">
        <v>1.5</v>
      </c>
      <c r="M14" s="9">
        <f t="shared" si="0"/>
        <v>30447</v>
      </c>
    </row>
    <row r="15" spans="5:13" ht="31.5" customHeight="1" x14ac:dyDescent="0.3">
      <c r="E15" s="4">
        <v>5</v>
      </c>
      <c r="F15" s="31" t="s">
        <v>34</v>
      </c>
      <c r="G15" s="31"/>
      <c r="H15" s="31"/>
      <c r="I15" s="5">
        <v>1</v>
      </c>
      <c r="J15" s="12">
        <v>5921</v>
      </c>
      <c r="K15" s="17" t="s">
        <v>28</v>
      </c>
      <c r="L15" s="4">
        <v>16</v>
      </c>
      <c r="M15" s="9">
        <f t="shared" si="0"/>
        <v>94736</v>
      </c>
    </row>
    <row r="16" spans="5:13" ht="30.5" customHeight="1" x14ac:dyDescent="0.3">
      <c r="E16" s="4">
        <v>6</v>
      </c>
      <c r="F16" s="31" t="s">
        <v>35</v>
      </c>
      <c r="G16" s="31"/>
      <c r="H16" s="31"/>
      <c r="I16" s="5">
        <v>1</v>
      </c>
      <c r="J16" s="12">
        <v>9405</v>
      </c>
      <c r="K16" s="17" t="s">
        <v>28</v>
      </c>
      <c r="L16" s="4">
        <v>5</v>
      </c>
      <c r="M16" s="9">
        <f t="shared" si="0"/>
        <v>47025</v>
      </c>
    </row>
    <row r="17" spans="2:15" ht="15.5" x14ac:dyDescent="0.3">
      <c r="E17" s="4">
        <v>7</v>
      </c>
      <c r="F17" s="31" t="s">
        <v>36</v>
      </c>
      <c r="G17" s="31"/>
      <c r="H17" s="31"/>
      <c r="I17" s="5">
        <v>1</v>
      </c>
      <c r="J17" s="12">
        <v>9405</v>
      </c>
      <c r="K17" s="17" t="s">
        <v>28</v>
      </c>
      <c r="L17" s="4">
        <v>1.25</v>
      </c>
      <c r="M17" s="9">
        <f t="shared" si="0"/>
        <v>11756.25</v>
      </c>
    </row>
    <row r="18" spans="2:15" ht="15.5" x14ac:dyDescent="0.3">
      <c r="E18" s="4">
        <v>8</v>
      </c>
      <c r="F18" s="31" t="s">
        <v>37</v>
      </c>
      <c r="G18" s="31"/>
      <c r="H18" s="31"/>
      <c r="I18" s="5">
        <v>1</v>
      </c>
      <c r="J18" s="12">
        <f>2391.19*25</f>
        <v>59779.75</v>
      </c>
      <c r="K18" s="17" t="s">
        <v>28</v>
      </c>
      <c r="L18" s="4">
        <v>2</v>
      </c>
      <c r="M18" s="9">
        <f t="shared" si="0"/>
        <v>119559.5</v>
      </c>
    </row>
    <row r="19" spans="2:15" ht="15.5" x14ac:dyDescent="0.3">
      <c r="E19" s="4">
        <v>9</v>
      </c>
      <c r="F19" s="31" t="s">
        <v>38</v>
      </c>
      <c r="G19" s="31"/>
      <c r="H19" s="31"/>
      <c r="I19" s="5">
        <v>1</v>
      </c>
      <c r="J19" s="12">
        <f>2391.19*16</f>
        <v>38259.040000000001</v>
      </c>
      <c r="K19" s="17" t="s">
        <v>28</v>
      </c>
      <c r="L19" s="4">
        <v>2</v>
      </c>
      <c r="M19" s="9">
        <f t="shared" si="0"/>
        <v>76518.080000000002</v>
      </c>
    </row>
    <row r="20" spans="2:15" ht="15.5" x14ac:dyDescent="0.3">
      <c r="E20" s="4">
        <v>10</v>
      </c>
      <c r="F20" s="31" t="s">
        <v>39</v>
      </c>
      <c r="G20" s="31"/>
      <c r="H20" s="31"/>
      <c r="I20" s="5">
        <v>1</v>
      </c>
      <c r="J20" s="12">
        <v>23052</v>
      </c>
      <c r="K20" s="17" t="s">
        <v>28</v>
      </c>
      <c r="L20" s="4">
        <v>1.25</v>
      </c>
      <c r="M20" s="9">
        <f t="shared" si="0"/>
        <v>28815</v>
      </c>
    </row>
    <row r="21" spans="2:15" ht="17.399999999999999" customHeight="1" x14ac:dyDescent="0.35">
      <c r="E21" s="16"/>
      <c r="F21" s="33" t="s">
        <v>18</v>
      </c>
      <c r="G21" s="33"/>
      <c r="H21" s="33"/>
      <c r="I21" s="33"/>
      <c r="J21" s="33"/>
      <c r="K21" s="33"/>
      <c r="L21" s="33"/>
      <c r="M21" s="10">
        <f>SUM(M11:M20)</f>
        <v>1071291.33</v>
      </c>
    </row>
    <row r="22" spans="2:15" ht="17.399999999999999" customHeight="1" x14ac:dyDescent="0.35">
      <c r="B22" s="19"/>
      <c r="E22" s="16"/>
      <c r="F22" s="34" t="s">
        <v>20</v>
      </c>
      <c r="G22" s="34"/>
      <c r="H22" s="34"/>
      <c r="I22" s="34"/>
      <c r="J22" s="34"/>
      <c r="K22" s="34"/>
      <c r="L22" s="34"/>
      <c r="M22" s="6">
        <f>M21*9%</f>
        <v>96416.219700000001</v>
      </c>
      <c r="O22" s="19">
        <f>M25+'Bill-2'!M25+'Bill-3'!M23+'Bill-4'!M28+'Bill-5'!M26+'Bill-6'!M19</f>
        <v>5250442.1077999994</v>
      </c>
    </row>
    <row r="23" spans="2:15" ht="17.399999999999999" customHeight="1" x14ac:dyDescent="0.35">
      <c r="B23" s="18"/>
      <c r="E23" s="16"/>
      <c r="F23" s="34" t="s">
        <v>21</v>
      </c>
      <c r="G23" s="34"/>
      <c r="H23" s="34"/>
      <c r="I23" s="34"/>
      <c r="J23" s="34"/>
      <c r="K23" s="34"/>
      <c r="L23" s="34"/>
      <c r="M23" s="6">
        <f>M21*9%</f>
        <v>96416.219700000001</v>
      </c>
      <c r="O23" s="1">
        <v>1264124</v>
      </c>
    </row>
    <row r="24" spans="2:15" ht="17.399999999999999" customHeight="1" x14ac:dyDescent="0.35">
      <c r="B24" s="19"/>
      <c r="E24" s="16"/>
      <c r="F24" s="34" t="s">
        <v>23</v>
      </c>
      <c r="G24" s="34"/>
      <c r="H24" s="34"/>
      <c r="I24" s="34"/>
      <c r="J24" s="34"/>
      <c r="K24" s="34"/>
      <c r="L24" s="34"/>
      <c r="M24" s="10"/>
      <c r="O24" s="1">
        <v>605655</v>
      </c>
    </row>
    <row r="25" spans="2:15" ht="17.399999999999999" customHeight="1" x14ac:dyDescent="0.35">
      <c r="E25" s="16"/>
      <c r="F25" s="13"/>
      <c r="G25" s="13"/>
      <c r="H25" s="13"/>
      <c r="I25" s="13"/>
      <c r="J25" s="13"/>
      <c r="K25" s="13"/>
      <c r="L25" s="13"/>
      <c r="M25" s="10">
        <f>M21+M22+M23</f>
        <v>1264123.7694000001</v>
      </c>
      <c r="O25" s="1">
        <v>598184</v>
      </c>
    </row>
    <row r="26" spans="2:15" ht="15.5" x14ac:dyDescent="0.35">
      <c r="E26" s="7"/>
      <c r="F26" s="35" t="s">
        <v>40</v>
      </c>
      <c r="G26" s="35"/>
      <c r="H26" s="35"/>
      <c r="I26" s="35"/>
      <c r="J26" s="35"/>
      <c r="K26" s="35"/>
      <c r="L26" s="35"/>
      <c r="M26" s="35"/>
      <c r="O26" s="1">
        <v>943508</v>
      </c>
    </row>
    <row r="27" spans="2:15" ht="15.5" x14ac:dyDescent="0.35">
      <c r="E27" s="16"/>
      <c r="F27" s="23" t="s">
        <v>13</v>
      </c>
      <c r="G27" s="23"/>
      <c r="H27" s="23"/>
      <c r="I27" s="7"/>
      <c r="J27" s="7"/>
      <c r="K27" s="7"/>
      <c r="L27" s="7"/>
      <c r="M27" s="11"/>
      <c r="O27" s="1">
        <v>553063</v>
      </c>
    </row>
    <row r="28" spans="2:15" ht="15.5" x14ac:dyDescent="0.35">
      <c r="E28" s="16"/>
      <c r="F28" s="23" t="s">
        <v>22</v>
      </c>
      <c r="G28" s="23"/>
      <c r="H28" s="23"/>
      <c r="I28" s="7"/>
      <c r="J28" s="7"/>
      <c r="K28" s="7"/>
      <c r="L28" s="7"/>
      <c r="M28" s="11">
        <f>M25*5%</f>
        <v>63206.188470000008</v>
      </c>
      <c r="O28" s="1">
        <v>550034</v>
      </c>
    </row>
    <row r="29" spans="2:15" ht="15.5" x14ac:dyDescent="0.35">
      <c r="E29" s="16"/>
      <c r="F29" s="23" t="s">
        <v>14</v>
      </c>
      <c r="G29" s="23"/>
      <c r="H29" s="23"/>
      <c r="I29" s="7"/>
      <c r="J29" s="7"/>
      <c r="K29" s="7"/>
      <c r="L29" s="7"/>
      <c r="M29" s="20">
        <f>M25-M27-M28</f>
        <v>1200917.5809300002</v>
      </c>
      <c r="O29" s="1">
        <v>521031</v>
      </c>
    </row>
    <row r="30" spans="2:15" ht="15.5" x14ac:dyDescent="0.35">
      <c r="E30" s="7"/>
      <c r="F30" s="7"/>
      <c r="G30" s="7"/>
      <c r="H30" s="7"/>
      <c r="I30" s="7"/>
      <c r="J30" s="7"/>
      <c r="K30" s="7"/>
      <c r="L30" s="7"/>
      <c r="M30" s="7"/>
      <c r="O30" s="1">
        <v>74286</v>
      </c>
    </row>
    <row r="31" spans="2:15" x14ac:dyDescent="0.3">
      <c r="E31" s="26"/>
      <c r="F31" s="26"/>
      <c r="G31" s="26"/>
      <c r="H31" s="26"/>
      <c r="I31" s="26"/>
      <c r="J31" s="26"/>
      <c r="K31" s="26"/>
      <c r="L31" s="26"/>
      <c r="M31" s="26"/>
      <c r="O31" s="1">
        <v>478666</v>
      </c>
    </row>
    <row r="32" spans="2:15" x14ac:dyDescent="0.3">
      <c r="E32" s="26"/>
      <c r="F32" s="26"/>
      <c r="G32" s="26"/>
      <c r="H32" s="26"/>
      <c r="I32" s="26"/>
      <c r="J32" s="26"/>
      <c r="K32" s="26"/>
      <c r="L32" s="26"/>
      <c r="M32" s="26"/>
      <c r="O32" s="1">
        <v>678168</v>
      </c>
    </row>
    <row r="33" spans="5:15" x14ac:dyDescent="0.3">
      <c r="E33" s="26"/>
      <c r="F33" s="26"/>
      <c r="G33" s="26"/>
      <c r="H33" s="26"/>
      <c r="I33" s="26"/>
      <c r="J33" s="26"/>
      <c r="K33" s="26"/>
      <c r="L33" s="26"/>
      <c r="M33" s="26"/>
      <c r="O33" s="1">
        <v>641038</v>
      </c>
    </row>
    <row r="34" spans="5:15" x14ac:dyDescent="0.3">
      <c r="E34" s="25" t="s">
        <v>15</v>
      </c>
      <c r="F34" s="25"/>
      <c r="G34" s="25"/>
      <c r="H34" s="25"/>
      <c r="I34" s="25"/>
      <c r="J34" s="25"/>
      <c r="K34" s="25"/>
      <c r="L34" s="25"/>
      <c r="M34" s="25"/>
      <c r="O34" s="19">
        <f>SUM(O22:O33)</f>
        <v>12158199.107799999</v>
      </c>
    </row>
    <row r="35" spans="5:15" x14ac:dyDescent="0.3">
      <c r="E35" s="25"/>
      <c r="F35" s="25"/>
      <c r="G35" s="25"/>
      <c r="H35" s="25"/>
      <c r="I35" s="25"/>
      <c r="J35" s="25"/>
      <c r="K35" s="25"/>
      <c r="L35" s="25"/>
      <c r="M35" s="25"/>
      <c r="O35" s="1">
        <f>'[1]1'!$L$11</f>
        <v>0</v>
      </c>
    </row>
    <row r="36" spans="5:15" x14ac:dyDescent="0.3">
      <c r="E36" s="25"/>
      <c r="F36" s="25"/>
      <c r="G36" s="25"/>
      <c r="H36" s="25"/>
      <c r="I36" s="25"/>
      <c r="J36" s="25"/>
      <c r="K36" s="25"/>
      <c r="L36" s="25"/>
      <c r="M36" s="25"/>
    </row>
    <row r="37" spans="5:15" x14ac:dyDescent="0.3">
      <c r="E37" s="25"/>
      <c r="F37" s="25"/>
      <c r="G37" s="25"/>
      <c r="H37" s="25"/>
      <c r="I37" s="25"/>
      <c r="J37" s="25"/>
      <c r="K37" s="25"/>
      <c r="L37" s="25"/>
      <c r="M37" s="25"/>
    </row>
    <row r="38" spans="5:15" x14ac:dyDescent="0.3">
      <c r="E38" s="25"/>
      <c r="F38" s="25"/>
      <c r="G38" s="25"/>
      <c r="H38" s="25"/>
      <c r="I38" s="25"/>
      <c r="J38" s="25"/>
      <c r="K38" s="25"/>
      <c r="L38" s="25"/>
      <c r="M38" s="25"/>
    </row>
    <row r="39" spans="5:15" x14ac:dyDescent="0.3">
      <c r="E39" s="25"/>
      <c r="F39" s="25"/>
      <c r="G39" s="25"/>
      <c r="H39" s="25"/>
      <c r="I39" s="25"/>
      <c r="J39" s="25"/>
      <c r="K39" s="25"/>
      <c r="L39" s="25"/>
      <c r="M39" s="25"/>
    </row>
    <row r="40" spans="5:15" ht="15.5" x14ac:dyDescent="0.35">
      <c r="E40" s="7"/>
      <c r="F40" s="7"/>
      <c r="G40" s="7"/>
      <c r="H40" s="7"/>
      <c r="I40" s="7"/>
      <c r="J40" s="7"/>
      <c r="K40" s="7"/>
      <c r="L40" s="7"/>
      <c r="M40" s="7"/>
    </row>
    <row r="41" spans="5:15" ht="15.5" x14ac:dyDescent="0.35">
      <c r="E41" s="7"/>
      <c r="F41" s="7"/>
      <c r="G41" s="7"/>
      <c r="H41" s="7"/>
      <c r="I41" s="7"/>
      <c r="J41" s="7"/>
      <c r="K41" s="7"/>
      <c r="L41" s="7"/>
      <c r="M41" s="7"/>
    </row>
  </sheetData>
  <mergeCells count="37">
    <mergeCell ref="E38:M39"/>
    <mergeCell ref="F21:L21"/>
    <mergeCell ref="F22:L22"/>
    <mergeCell ref="F23:L23"/>
    <mergeCell ref="F24:L24"/>
    <mergeCell ref="F26:M26"/>
    <mergeCell ref="F27:H27"/>
    <mergeCell ref="F28:H28"/>
    <mergeCell ref="F29:H29"/>
    <mergeCell ref="E31:M33"/>
    <mergeCell ref="E34:M35"/>
    <mergeCell ref="E36:M37"/>
    <mergeCell ref="E8:F8"/>
    <mergeCell ref="G8:M8"/>
    <mergeCell ref="E9:M9"/>
    <mergeCell ref="F10:H10"/>
    <mergeCell ref="F20:H20"/>
    <mergeCell ref="F19:H19"/>
    <mergeCell ref="F17:H17"/>
    <mergeCell ref="F18:H18"/>
    <mergeCell ref="F11:H11"/>
    <mergeCell ref="F14:H14"/>
    <mergeCell ref="F15:H15"/>
    <mergeCell ref="F16:H16"/>
    <mergeCell ref="F12:H12"/>
    <mergeCell ref="F13:H13"/>
    <mergeCell ref="E6:J6"/>
    <mergeCell ref="L6:M6"/>
    <mergeCell ref="E7:F7"/>
    <mergeCell ref="G7:J7"/>
    <mergeCell ref="L7:M7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FF89-6B7E-45CC-B696-E49E0E125118}">
  <sheetPr>
    <pageSetUpPr fitToPage="1"/>
  </sheetPr>
  <dimension ref="B2:M41"/>
  <sheetViews>
    <sheetView topLeftCell="A8" workbookViewId="0">
      <selection activeCell="L11" sqref="L11"/>
    </sheetView>
  </sheetViews>
  <sheetFormatPr defaultColWidth="8.6328125" defaultRowHeight="14" x14ac:dyDescent="0.3"/>
  <cols>
    <col min="1" max="1" width="8.6328125" style="1"/>
    <col min="2" max="2" width="11.36328125" style="1" bestFit="1" customWidth="1"/>
    <col min="3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3.7265625" style="1" customWidth="1"/>
    <col min="14" max="16384" width="8.6328125" style="1"/>
  </cols>
  <sheetData>
    <row r="2" spans="5:13" ht="17.5" x14ac:dyDescent="0.35">
      <c r="E2" s="21" t="s">
        <v>0</v>
      </c>
      <c r="F2" s="21"/>
      <c r="G2" s="21"/>
      <c r="H2" s="21"/>
      <c r="I2" s="21"/>
      <c r="J2" s="21"/>
      <c r="K2" s="21"/>
      <c r="L2" s="21"/>
      <c r="M2" s="2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2" t="s">
        <v>16</v>
      </c>
      <c r="F4" s="22"/>
      <c r="G4" s="23" t="s">
        <v>24</v>
      </c>
      <c r="H4" s="23"/>
      <c r="I4" s="23"/>
      <c r="J4" s="23"/>
      <c r="K4" s="24" t="s">
        <v>19</v>
      </c>
      <c r="L4" s="24"/>
      <c r="M4" s="7">
        <v>9</v>
      </c>
    </row>
    <row r="5" spans="5:13" ht="18.899999999999999" customHeight="1" x14ac:dyDescent="0.3">
      <c r="E5" s="25" t="s">
        <v>1</v>
      </c>
      <c r="F5" s="25"/>
      <c r="G5" s="26" t="s">
        <v>25</v>
      </c>
      <c r="H5" s="26"/>
      <c r="I5" s="26"/>
      <c r="J5" s="26"/>
      <c r="K5" s="26"/>
      <c r="L5" s="26"/>
      <c r="M5" s="26"/>
    </row>
    <row r="6" spans="5:13" ht="30.9" customHeight="1" x14ac:dyDescent="0.35">
      <c r="E6" s="27" t="s">
        <v>29</v>
      </c>
      <c r="F6" s="27"/>
      <c r="G6" s="27"/>
      <c r="H6" s="27"/>
      <c r="I6" s="27"/>
      <c r="J6" s="27"/>
      <c r="K6" s="8" t="s">
        <v>2</v>
      </c>
      <c r="L6" s="28">
        <v>45562</v>
      </c>
      <c r="M6" s="29"/>
    </row>
    <row r="7" spans="5:13" ht="20.149999999999999" customHeight="1" x14ac:dyDescent="0.3">
      <c r="E7" s="30" t="s">
        <v>3</v>
      </c>
      <c r="F7" s="30"/>
      <c r="G7" s="31" t="s">
        <v>26</v>
      </c>
      <c r="H7" s="31"/>
      <c r="I7" s="31"/>
      <c r="J7" s="31"/>
      <c r="K7" s="14" t="s">
        <v>17</v>
      </c>
      <c r="L7" s="28">
        <v>45560</v>
      </c>
      <c r="M7" s="29"/>
    </row>
    <row r="8" spans="5:13" ht="18.899999999999999" customHeight="1" x14ac:dyDescent="0.3">
      <c r="E8" s="25" t="s">
        <v>5</v>
      </c>
      <c r="F8" s="25"/>
      <c r="G8" s="26" t="s">
        <v>27</v>
      </c>
      <c r="H8" s="26"/>
      <c r="I8" s="26"/>
      <c r="J8" s="26"/>
      <c r="K8" s="26"/>
      <c r="L8" s="26"/>
      <c r="M8" s="26"/>
    </row>
    <row r="9" spans="5:13" ht="20.399999999999999" customHeight="1" x14ac:dyDescent="0.3">
      <c r="E9" s="25" t="s">
        <v>4</v>
      </c>
      <c r="F9" s="25"/>
      <c r="G9" s="25"/>
      <c r="H9" s="25"/>
      <c r="I9" s="25"/>
      <c r="J9" s="25"/>
      <c r="K9" s="25"/>
      <c r="L9" s="25"/>
      <c r="M9" s="25"/>
    </row>
    <row r="10" spans="5:13" ht="30" x14ac:dyDescent="0.3">
      <c r="E10" s="2" t="s">
        <v>12</v>
      </c>
      <c r="F10" s="32" t="s">
        <v>6</v>
      </c>
      <c r="G10" s="32"/>
      <c r="H10" s="32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5.5" x14ac:dyDescent="0.3">
      <c r="E11" s="4">
        <v>1</v>
      </c>
      <c r="F11" s="31" t="s">
        <v>41</v>
      </c>
      <c r="G11" s="31"/>
      <c r="H11" s="31"/>
      <c r="I11" s="5">
        <v>1</v>
      </c>
      <c r="J11" s="12">
        <f>2692.39*44</f>
        <v>118465.15999999999</v>
      </c>
      <c r="K11" s="17" t="s">
        <v>28</v>
      </c>
      <c r="L11" s="4">
        <v>2</v>
      </c>
      <c r="M11" s="9">
        <f>L11*J11*I11</f>
        <v>236930.31999999998</v>
      </c>
    </row>
    <row r="12" spans="5:13" ht="15.5" x14ac:dyDescent="0.3">
      <c r="E12" s="4">
        <v>2</v>
      </c>
      <c r="F12" s="31" t="s">
        <v>43</v>
      </c>
      <c r="G12" s="31"/>
      <c r="H12" s="31"/>
      <c r="I12" s="5">
        <v>1</v>
      </c>
      <c r="J12" s="12">
        <v>2574</v>
      </c>
      <c r="K12" s="17" t="s">
        <v>28</v>
      </c>
      <c r="L12" s="4">
        <v>3</v>
      </c>
      <c r="M12" s="9">
        <f>L12*J12*I12</f>
        <v>7722</v>
      </c>
    </row>
    <row r="13" spans="5:13" ht="15.5" x14ac:dyDescent="0.3">
      <c r="E13" s="4">
        <v>3</v>
      </c>
      <c r="F13" s="31" t="s">
        <v>42</v>
      </c>
      <c r="G13" s="31"/>
      <c r="H13" s="31"/>
      <c r="I13" s="5">
        <v>1</v>
      </c>
      <c r="J13" s="12">
        <v>3682</v>
      </c>
      <c r="K13" s="17" t="s">
        <v>28</v>
      </c>
      <c r="L13" s="4">
        <v>3.5</v>
      </c>
      <c r="M13" s="9">
        <f t="shared" ref="M13:M20" si="0">L13*J13*I13</f>
        <v>12887</v>
      </c>
    </row>
    <row r="14" spans="5:13" ht="15.5" x14ac:dyDescent="0.3">
      <c r="E14" s="4">
        <v>4</v>
      </c>
      <c r="F14" s="31" t="s">
        <v>33</v>
      </c>
      <c r="G14" s="31"/>
      <c r="H14" s="31"/>
      <c r="I14" s="5">
        <v>1</v>
      </c>
      <c r="J14" s="12">
        <v>20298</v>
      </c>
      <c r="K14" s="17" t="s">
        <v>28</v>
      </c>
      <c r="L14" s="4">
        <v>2</v>
      </c>
      <c r="M14" s="9">
        <f t="shared" si="0"/>
        <v>40596</v>
      </c>
    </row>
    <row r="15" spans="5:13" ht="15.5" x14ac:dyDescent="0.3">
      <c r="E15" s="4">
        <v>5</v>
      </c>
      <c r="F15" s="31" t="s">
        <v>44</v>
      </c>
      <c r="G15" s="31"/>
      <c r="H15" s="31"/>
      <c r="I15" s="5">
        <v>1</v>
      </c>
      <c r="J15" s="12">
        <v>85484</v>
      </c>
      <c r="K15" s="17" t="s">
        <v>28</v>
      </c>
      <c r="L15" s="4">
        <v>1.5</v>
      </c>
      <c r="M15" s="9">
        <f t="shared" si="0"/>
        <v>128226</v>
      </c>
    </row>
    <row r="16" spans="5:13" ht="15.5" x14ac:dyDescent="0.3">
      <c r="E16" s="4">
        <v>6</v>
      </c>
      <c r="F16" s="31" t="s">
        <v>45</v>
      </c>
      <c r="G16" s="31"/>
      <c r="H16" s="31"/>
      <c r="I16" s="5">
        <v>1</v>
      </c>
      <c r="J16" s="12">
        <v>2340</v>
      </c>
      <c r="K16" s="17" t="s">
        <v>28</v>
      </c>
      <c r="L16" s="4">
        <v>4</v>
      </c>
      <c r="M16" s="9">
        <f t="shared" si="0"/>
        <v>9360</v>
      </c>
    </row>
    <row r="17" spans="2:13" ht="32.5" customHeight="1" x14ac:dyDescent="0.3">
      <c r="E17" s="4">
        <v>7</v>
      </c>
      <c r="F17" s="31" t="s">
        <v>46</v>
      </c>
      <c r="G17" s="31"/>
      <c r="H17" s="31"/>
      <c r="I17" s="5">
        <v>1</v>
      </c>
      <c r="J17" s="12">
        <v>8168.46</v>
      </c>
      <c r="K17" s="17" t="s">
        <v>28</v>
      </c>
      <c r="L17" s="4">
        <v>10</v>
      </c>
      <c r="M17" s="9">
        <f t="shared" si="0"/>
        <v>81684.600000000006</v>
      </c>
    </row>
    <row r="18" spans="2:13" ht="15.5" x14ac:dyDescent="0.3">
      <c r="E18" s="4">
        <v>8</v>
      </c>
      <c r="F18" s="31" t="s">
        <v>47</v>
      </c>
      <c r="G18" s="31"/>
      <c r="H18" s="31"/>
      <c r="I18" s="5">
        <v>1</v>
      </c>
      <c r="J18" s="12">
        <v>9404</v>
      </c>
      <c r="K18" s="17" t="s">
        <v>28</v>
      </c>
      <c r="L18" s="4">
        <v>1</v>
      </c>
      <c r="M18" s="9">
        <f t="shared" si="0"/>
        <v>9404</v>
      </c>
    </row>
    <row r="19" spans="2:13" ht="15.5" x14ac:dyDescent="0.3">
      <c r="E19" s="4">
        <v>9</v>
      </c>
      <c r="F19" s="31" t="s">
        <v>48</v>
      </c>
      <c r="G19" s="31"/>
      <c r="H19" s="31"/>
      <c r="I19" s="5">
        <v>1</v>
      </c>
      <c r="J19" s="12">
        <v>9405</v>
      </c>
      <c r="K19" s="17" t="s">
        <v>28</v>
      </c>
      <c r="L19" s="4">
        <v>1.25</v>
      </c>
      <c r="M19" s="9">
        <f t="shared" si="0"/>
        <v>11756.25</v>
      </c>
    </row>
    <row r="20" spans="2:13" ht="33" customHeight="1" x14ac:dyDescent="0.3">
      <c r="E20" s="4">
        <v>10</v>
      </c>
      <c r="F20" s="31" t="s">
        <v>49</v>
      </c>
      <c r="G20" s="31"/>
      <c r="H20" s="31"/>
      <c r="I20" s="5">
        <v>1</v>
      </c>
      <c r="J20" s="12">
        <v>686</v>
      </c>
      <c r="K20" s="17" t="s">
        <v>28</v>
      </c>
      <c r="L20" s="4">
        <v>2.5</v>
      </c>
      <c r="M20" s="9">
        <f t="shared" si="0"/>
        <v>1715</v>
      </c>
    </row>
    <row r="21" spans="2:13" ht="17.399999999999999" customHeight="1" x14ac:dyDescent="0.35">
      <c r="E21" s="16"/>
      <c r="F21" s="33" t="s">
        <v>18</v>
      </c>
      <c r="G21" s="33"/>
      <c r="H21" s="33"/>
      <c r="I21" s="33"/>
      <c r="J21" s="33"/>
      <c r="K21" s="33"/>
      <c r="L21" s="33"/>
      <c r="M21" s="10">
        <f>SUM(M11:M20)</f>
        <v>540281.16999999993</v>
      </c>
    </row>
    <row r="22" spans="2:13" ht="17.399999999999999" customHeight="1" x14ac:dyDescent="0.35">
      <c r="B22" s="19"/>
      <c r="E22" s="16"/>
      <c r="F22" s="34" t="s">
        <v>20</v>
      </c>
      <c r="G22" s="34"/>
      <c r="H22" s="34"/>
      <c r="I22" s="34"/>
      <c r="J22" s="34"/>
      <c r="K22" s="34"/>
      <c r="L22" s="34"/>
      <c r="M22" s="6">
        <f>M21*9%</f>
        <v>48625.305299999993</v>
      </c>
    </row>
    <row r="23" spans="2:13" ht="17.399999999999999" customHeight="1" x14ac:dyDescent="0.35">
      <c r="B23" s="18"/>
      <c r="E23" s="16"/>
      <c r="F23" s="34" t="s">
        <v>21</v>
      </c>
      <c r="G23" s="34"/>
      <c r="H23" s="34"/>
      <c r="I23" s="34"/>
      <c r="J23" s="34"/>
      <c r="K23" s="34"/>
      <c r="L23" s="34"/>
      <c r="M23" s="6">
        <f>M21*9%</f>
        <v>48625.305299999993</v>
      </c>
    </row>
    <row r="24" spans="2:13" ht="17.399999999999999" customHeight="1" x14ac:dyDescent="0.35">
      <c r="B24" s="19"/>
      <c r="E24" s="16"/>
      <c r="F24" s="34" t="s">
        <v>23</v>
      </c>
      <c r="G24" s="34"/>
      <c r="H24" s="34"/>
      <c r="I24" s="34"/>
      <c r="J24" s="34"/>
      <c r="K24" s="34"/>
      <c r="L24" s="34"/>
      <c r="M24" s="10"/>
    </row>
    <row r="25" spans="2:13" ht="17.399999999999999" customHeight="1" x14ac:dyDescent="0.35">
      <c r="E25" s="16"/>
      <c r="F25" s="13"/>
      <c r="G25" s="13"/>
      <c r="H25" s="13"/>
      <c r="I25" s="13"/>
      <c r="J25" s="13"/>
      <c r="K25" s="13"/>
      <c r="L25" s="13"/>
      <c r="M25" s="10">
        <f>M21+M22+M23</f>
        <v>637531.78059999994</v>
      </c>
    </row>
    <row r="26" spans="2:13" ht="15.5" x14ac:dyDescent="0.35">
      <c r="E26" s="7"/>
      <c r="F26" s="35" t="s">
        <v>50</v>
      </c>
      <c r="G26" s="35"/>
      <c r="H26" s="35"/>
      <c r="I26" s="35"/>
      <c r="J26" s="35"/>
      <c r="K26" s="35"/>
      <c r="L26" s="35"/>
      <c r="M26" s="35"/>
    </row>
    <row r="27" spans="2:13" ht="15.5" x14ac:dyDescent="0.35">
      <c r="E27" s="16"/>
      <c r="F27" s="23" t="s">
        <v>13</v>
      </c>
      <c r="G27" s="23"/>
      <c r="H27" s="23"/>
      <c r="I27" s="7"/>
      <c r="J27" s="7"/>
      <c r="K27" s="7"/>
      <c r="L27" s="7"/>
      <c r="M27" s="11"/>
    </row>
    <row r="28" spans="2:13" ht="15.5" x14ac:dyDescent="0.35">
      <c r="E28" s="16"/>
      <c r="F28" s="23" t="s">
        <v>22</v>
      </c>
      <c r="G28" s="23"/>
      <c r="H28" s="23"/>
      <c r="I28" s="7"/>
      <c r="J28" s="7"/>
      <c r="K28" s="7"/>
      <c r="L28" s="7"/>
      <c r="M28" s="11">
        <f>M25*5%</f>
        <v>31876.589029999999</v>
      </c>
    </row>
    <row r="29" spans="2:13" ht="15.5" x14ac:dyDescent="0.35">
      <c r="E29" s="16"/>
      <c r="F29" s="23" t="s">
        <v>14</v>
      </c>
      <c r="G29" s="23"/>
      <c r="H29" s="23"/>
      <c r="I29" s="7"/>
      <c r="J29" s="7"/>
      <c r="K29" s="7"/>
      <c r="L29" s="7"/>
      <c r="M29" s="20">
        <f>M25-M27-M28</f>
        <v>605655.19156999991</v>
      </c>
    </row>
    <row r="30" spans="2:13" ht="15.5" x14ac:dyDescent="0.35">
      <c r="E30" s="7"/>
      <c r="F30" s="7"/>
      <c r="G30" s="7"/>
      <c r="H30" s="7"/>
      <c r="I30" s="7"/>
      <c r="J30" s="7"/>
      <c r="K30" s="7"/>
      <c r="L30" s="7"/>
      <c r="M30" s="7"/>
    </row>
    <row r="31" spans="2:13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2:13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5" t="s">
        <v>15</v>
      </c>
      <c r="F34" s="25"/>
      <c r="G34" s="25"/>
      <c r="H34" s="25"/>
      <c r="I34" s="25"/>
      <c r="J34" s="25"/>
      <c r="K34" s="25"/>
      <c r="L34" s="25"/>
      <c r="M34" s="25"/>
    </row>
    <row r="35" spans="5:13" x14ac:dyDescent="0.3">
      <c r="E35" s="25"/>
      <c r="F35" s="25"/>
      <c r="G35" s="25"/>
      <c r="H35" s="25"/>
      <c r="I35" s="25"/>
      <c r="J35" s="25"/>
      <c r="K35" s="25"/>
      <c r="L35" s="25"/>
      <c r="M35" s="25"/>
    </row>
    <row r="36" spans="5:13" x14ac:dyDescent="0.3">
      <c r="E36" s="25"/>
      <c r="F36" s="25"/>
      <c r="G36" s="25"/>
      <c r="H36" s="25"/>
      <c r="I36" s="25"/>
      <c r="J36" s="25"/>
      <c r="K36" s="25"/>
      <c r="L36" s="25"/>
      <c r="M36" s="25"/>
    </row>
    <row r="37" spans="5:13" x14ac:dyDescent="0.3">
      <c r="E37" s="25"/>
      <c r="F37" s="25"/>
      <c r="G37" s="25"/>
      <c r="H37" s="25"/>
      <c r="I37" s="25"/>
      <c r="J37" s="25"/>
      <c r="K37" s="25"/>
      <c r="L37" s="25"/>
      <c r="M37" s="25"/>
    </row>
    <row r="38" spans="5:13" x14ac:dyDescent="0.3">
      <c r="E38" s="25"/>
      <c r="F38" s="25"/>
      <c r="G38" s="25"/>
      <c r="H38" s="25"/>
      <c r="I38" s="25"/>
      <c r="J38" s="25"/>
      <c r="K38" s="25"/>
      <c r="L38" s="25"/>
      <c r="M38" s="25"/>
    </row>
    <row r="39" spans="5:13" x14ac:dyDescent="0.3">
      <c r="E39" s="25"/>
      <c r="F39" s="25"/>
      <c r="G39" s="25"/>
      <c r="H39" s="25"/>
      <c r="I39" s="25"/>
      <c r="J39" s="25"/>
      <c r="K39" s="25"/>
      <c r="L39" s="25"/>
      <c r="M39" s="25"/>
    </row>
    <row r="40" spans="5:13" ht="15.5" x14ac:dyDescent="0.35">
      <c r="E40" s="7"/>
      <c r="F40" s="7"/>
      <c r="G40" s="7"/>
      <c r="H40" s="7"/>
      <c r="I40" s="7"/>
      <c r="J40" s="7"/>
      <c r="K40" s="7"/>
      <c r="L40" s="7"/>
      <c r="M40" s="7"/>
    </row>
    <row r="41" spans="5:13" ht="15.5" x14ac:dyDescent="0.35">
      <c r="E41" s="7"/>
      <c r="F41" s="7"/>
      <c r="G41" s="7"/>
      <c r="H41" s="7"/>
      <c r="I41" s="7"/>
      <c r="J41" s="7"/>
      <c r="K41" s="7"/>
      <c r="L41" s="7"/>
      <c r="M41" s="7"/>
    </row>
  </sheetData>
  <mergeCells count="37"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F20:H20"/>
    <mergeCell ref="E9:M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E38:M39"/>
    <mergeCell ref="F21:L21"/>
    <mergeCell ref="F22:L22"/>
    <mergeCell ref="F23:L23"/>
    <mergeCell ref="F24:L24"/>
    <mergeCell ref="F26:M26"/>
    <mergeCell ref="F27:H27"/>
    <mergeCell ref="F28:H28"/>
    <mergeCell ref="F29:H29"/>
    <mergeCell ref="E31:M33"/>
    <mergeCell ref="E34:M35"/>
    <mergeCell ref="E36:M37"/>
  </mergeCells>
  <pageMargins left="0.7" right="0.7" top="0.75" bottom="0.75" header="0.3" footer="0.3"/>
  <pageSetup paperSize="9" scale="5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7322-C7DE-45B0-AE8B-43E1B42C9B36}">
  <sheetPr>
    <pageSetUpPr fitToPage="1"/>
  </sheetPr>
  <dimension ref="B2:M39"/>
  <sheetViews>
    <sheetView topLeftCell="A9" workbookViewId="0">
      <selection activeCell="L11" sqref="L11"/>
    </sheetView>
  </sheetViews>
  <sheetFormatPr defaultColWidth="8.6328125" defaultRowHeight="14" x14ac:dyDescent="0.3"/>
  <cols>
    <col min="1" max="1" width="8.6328125" style="1"/>
    <col min="2" max="2" width="11.36328125" style="1" bestFit="1" customWidth="1"/>
    <col min="3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3.7265625" style="1" customWidth="1"/>
    <col min="14" max="16384" width="8.6328125" style="1"/>
  </cols>
  <sheetData>
    <row r="2" spans="5:13" ht="17.5" x14ac:dyDescent="0.35">
      <c r="E2" s="21" t="s">
        <v>0</v>
      </c>
      <c r="F2" s="21"/>
      <c r="G2" s="21"/>
      <c r="H2" s="21"/>
      <c r="I2" s="21"/>
      <c r="J2" s="21"/>
      <c r="K2" s="21"/>
      <c r="L2" s="21"/>
      <c r="M2" s="2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2" t="s">
        <v>16</v>
      </c>
      <c r="F4" s="22"/>
      <c r="G4" s="23" t="s">
        <v>24</v>
      </c>
      <c r="H4" s="23"/>
      <c r="I4" s="23"/>
      <c r="J4" s="23"/>
      <c r="K4" s="24" t="s">
        <v>19</v>
      </c>
      <c r="L4" s="24"/>
      <c r="M4" s="7">
        <v>10</v>
      </c>
    </row>
    <row r="5" spans="5:13" ht="18.899999999999999" customHeight="1" x14ac:dyDescent="0.3">
      <c r="E5" s="25" t="s">
        <v>1</v>
      </c>
      <c r="F5" s="25"/>
      <c r="G5" s="26" t="s">
        <v>25</v>
      </c>
      <c r="H5" s="26"/>
      <c r="I5" s="26"/>
      <c r="J5" s="26"/>
      <c r="K5" s="26"/>
      <c r="L5" s="26"/>
      <c r="M5" s="26"/>
    </row>
    <row r="6" spans="5:13" ht="30.9" customHeight="1" x14ac:dyDescent="0.35">
      <c r="E6" s="27" t="s">
        <v>29</v>
      </c>
      <c r="F6" s="27"/>
      <c r="G6" s="27"/>
      <c r="H6" s="27"/>
      <c r="I6" s="27"/>
      <c r="J6" s="27"/>
      <c r="K6" s="8" t="s">
        <v>2</v>
      </c>
      <c r="L6" s="28">
        <v>45630</v>
      </c>
      <c r="M6" s="29"/>
    </row>
    <row r="7" spans="5:13" ht="20.149999999999999" customHeight="1" x14ac:dyDescent="0.3">
      <c r="E7" s="30" t="s">
        <v>3</v>
      </c>
      <c r="F7" s="30"/>
      <c r="G7" s="31" t="s">
        <v>26</v>
      </c>
      <c r="H7" s="31"/>
      <c r="I7" s="31"/>
      <c r="J7" s="31"/>
      <c r="K7" s="14" t="s">
        <v>17</v>
      </c>
      <c r="L7" s="28">
        <v>45628</v>
      </c>
      <c r="M7" s="29"/>
    </row>
    <row r="8" spans="5:13" ht="18.899999999999999" customHeight="1" x14ac:dyDescent="0.3">
      <c r="E8" s="25" t="s">
        <v>5</v>
      </c>
      <c r="F8" s="25"/>
      <c r="G8" s="26" t="s">
        <v>27</v>
      </c>
      <c r="H8" s="26"/>
      <c r="I8" s="26"/>
      <c r="J8" s="26"/>
      <c r="K8" s="26"/>
      <c r="L8" s="26"/>
      <c r="M8" s="26"/>
    </row>
    <row r="9" spans="5:13" ht="20.399999999999999" customHeight="1" x14ac:dyDescent="0.3">
      <c r="E9" s="25" t="s">
        <v>4</v>
      </c>
      <c r="F9" s="25"/>
      <c r="G9" s="25"/>
      <c r="H9" s="25"/>
      <c r="I9" s="25"/>
      <c r="J9" s="25"/>
      <c r="K9" s="25"/>
      <c r="L9" s="25"/>
      <c r="M9" s="25"/>
    </row>
    <row r="10" spans="5:13" ht="30" x14ac:dyDescent="0.3">
      <c r="E10" s="2" t="s">
        <v>12</v>
      </c>
      <c r="F10" s="32" t="s">
        <v>6</v>
      </c>
      <c r="G10" s="32"/>
      <c r="H10" s="32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5.5" x14ac:dyDescent="0.3">
      <c r="E11" s="4">
        <v>1</v>
      </c>
      <c r="F11" s="31" t="s">
        <v>51</v>
      </c>
      <c r="G11" s="31"/>
      <c r="H11" s="31"/>
      <c r="I11" s="5">
        <v>1</v>
      </c>
      <c r="J11" s="12">
        <v>87640</v>
      </c>
      <c r="K11" s="17" t="s">
        <v>28</v>
      </c>
      <c r="L11" s="4">
        <v>3</v>
      </c>
      <c r="M11" s="9">
        <f>L11*J11*I11</f>
        <v>262920</v>
      </c>
    </row>
    <row r="12" spans="5:13" ht="32" customHeight="1" x14ac:dyDescent="0.3">
      <c r="E12" s="4">
        <v>2</v>
      </c>
      <c r="F12" s="31" t="s">
        <v>52</v>
      </c>
      <c r="G12" s="31"/>
      <c r="H12" s="31"/>
      <c r="I12" s="5">
        <v>1</v>
      </c>
      <c r="J12" s="12">
        <v>27739</v>
      </c>
      <c r="K12" s="17" t="s">
        <v>28</v>
      </c>
      <c r="L12" s="4">
        <v>2.5</v>
      </c>
      <c r="M12" s="9">
        <f>L12*J12*I12</f>
        <v>69347.5</v>
      </c>
    </row>
    <row r="13" spans="5:13" ht="15.5" x14ac:dyDescent="0.3">
      <c r="E13" s="4">
        <v>3</v>
      </c>
      <c r="F13" s="31" t="s">
        <v>53</v>
      </c>
      <c r="G13" s="31"/>
      <c r="H13" s="31"/>
      <c r="I13" s="5">
        <v>1</v>
      </c>
      <c r="J13" s="12">
        <v>6916</v>
      </c>
      <c r="K13" s="17" t="s">
        <v>28</v>
      </c>
      <c r="L13" s="4">
        <v>4</v>
      </c>
      <c r="M13" s="9">
        <f t="shared" ref="M13:M18" si="0">L13*J13*I13</f>
        <v>27664</v>
      </c>
    </row>
    <row r="14" spans="5:13" ht="34" customHeight="1" x14ac:dyDescent="0.3">
      <c r="E14" s="4">
        <v>4</v>
      </c>
      <c r="F14" s="31" t="s">
        <v>54</v>
      </c>
      <c r="G14" s="31"/>
      <c r="H14" s="31"/>
      <c r="I14" s="5">
        <v>1</v>
      </c>
      <c r="J14" s="12">
        <v>6514.85</v>
      </c>
      <c r="K14" s="17" t="s">
        <v>28</v>
      </c>
      <c r="L14" s="4">
        <v>5</v>
      </c>
      <c r="M14" s="9">
        <f t="shared" si="0"/>
        <v>32574.25</v>
      </c>
    </row>
    <row r="15" spans="5:13" ht="32" customHeight="1" x14ac:dyDescent="0.3">
      <c r="E15" s="4">
        <v>5</v>
      </c>
      <c r="F15" s="31" t="s">
        <v>55</v>
      </c>
      <c r="G15" s="31"/>
      <c r="H15" s="31"/>
      <c r="I15" s="5">
        <v>1</v>
      </c>
      <c r="J15" s="12">
        <v>2574</v>
      </c>
      <c r="K15" s="17" t="s">
        <v>28</v>
      </c>
      <c r="L15" s="4">
        <v>3</v>
      </c>
      <c r="M15" s="9">
        <f t="shared" si="0"/>
        <v>7722</v>
      </c>
    </row>
    <row r="16" spans="5:13" ht="15.5" x14ac:dyDescent="0.3">
      <c r="E16" s="4">
        <v>6</v>
      </c>
      <c r="F16" s="31" t="s">
        <v>56</v>
      </c>
      <c r="G16" s="31"/>
      <c r="H16" s="31"/>
      <c r="I16" s="5">
        <v>1</v>
      </c>
      <c r="J16" s="12">
        <v>3290</v>
      </c>
      <c r="K16" s="17" t="s">
        <v>28</v>
      </c>
      <c r="L16" s="4">
        <v>16</v>
      </c>
      <c r="M16" s="9">
        <f t="shared" si="0"/>
        <v>52640</v>
      </c>
    </row>
    <row r="17" spans="2:13" ht="32.5" customHeight="1" x14ac:dyDescent="0.3">
      <c r="E17" s="4">
        <v>7</v>
      </c>
      <c r="F17" s="31" t="s">
        <v>57</v>
      </c>
      <c r="G17" s="31"/>
      <c r="H17" s="31"/>
      <c r="I17" s="5">
        <v>1</v>
      </c>
      <c r="J17" s="12">
        <v>5380.99</v>
      </c>
      <c r="K17" s="17" t="s">
        <v>28</v>
      </c>
      <c r="L17" s="4">
        <v>8</v>
      </c>
      <c r="M17" s="9">
        <f t="shared" si="0"/>
        <v>43047.92</v>
      </c>
    </row>
    <row r="18" spans="2:13" ht="15.5" x14ac:dyDescent="0.3">
      <c r="E18" s="4">
        <v>8</v>
      </c>
      <c r="F18" s="31" t="s">
        <v>58</v>
      </c>
      <c r="G18" s="31"/>
      <c r="H18" s="31"/>
      <c r="I18" s="5">
        <v>1</v>
      </c>
      <c r="J18" s="12">
        <v>4409</v>
      </c>
      <c r="K18" s="17" t="s">
        <v>28</v>
      </c>
      <c r="L18" s="4">
        <v>2.5</v>
      </c>
      <c r="M18" s="9">
        <f t="shared" si="0"/>
        <v>11022.5</v>
      </c>
    </row>
    <row r="19" spans="2:13" ht="17.399999999999999" customHeight="1" x14ac:dyDescent="0.35">
      <c r="E19" s="16"/>
      <c r="F19" s="33" t="s">
        <v>18</v>
      </c>
      <c r="G19" s="33"/>
      <c r="H19" s="33"/>
      <c r="I19" s="33"/>
      <c r="J19" s="33"/>
      <c r="K19" s="33"/>
      <c r="L19" s="33"/>
      <c r="M19" s="10">
        <f>SUM(M11:M18)</f>
        <v>506938.17</v>
      </c>
    </row>
    <row r="20" spans="2:13" ht="17.399999999999999" customHeight="1" x14ac:dyDescent="0.35">
      <c r="B20" s="19"/>
      <c r="E20" s="16"/>
      <c r="F20" s="34" t="s">
        <v>20</v>
      </c>
      <c r="G20" s="34"/>
      <c r="H20" s="34"/>
      <c r="I20" s="34"/>
      <c r="J20" s="34"/>
      <c r="K20" s="34"/>
      <c r="L20" s="34"/>
      <c r="M20" s="6">
        <f>M19*9%</f>
        <v>45624.435299999997</v>
      </c>
    </row>
    <row r="21" spans="2:13" ht="17.399999999999999" customHeight="1" x14ac:dyDescent="0.35">
      <c r="B21" s="18"/>
      <c r="E21" s="16"/>
      <c r="F21" s="34" t="s">
        <v>21</v>
      </c>
      <c r="G21" s="34"/>
      <c r="H21" s="34"/>
      <c r="I21" s="34"/>
      <c r="J21" s="34"/>
      <c r="K21" s="34"/>
      <c r="L21" s="34"/>
      <c r="M21" s="6">
        <f>M19*9%</f>
        <v>45624.435299999997</v>
      </c>
    </row>
    <row r="22" spans="2:13" ht="17.399999999999999" customHeight="1" x14ac:dyDescent="0.35">
      <c r="B22" s="19"/>
      <c r="E22" s="16"/>
      <c r="F22" s="34" t="s">
        <v>23</v>
      </c>
      <c r="G22" s="34"/>
      <c r="H22" s="34"/>
      <c r="I22" s="34"/>
      <c r="J22" s="34"/>
      <c r="K22" s="34"/>
      <c r="L22" s="34"/>
      <c r="M22" s="10"/>
    </row>
    <row r="23" spans="2:13" ht="17.399999999999999" customHeight="1" x14ac:dyDescent="0.35">
      <c r="E23" s="16"/>
      <c r="F23" s="13"/>
      <c r="G23" s="13"/>
      <c r="H23" s="13"/>
      <c r="I23" s="13"/>
      <c r="J23" s="13"/>
      <c r="K23" s="13"/>
      <c r="L23" s="13"/>
      <c r="M23" s="10">
        <f>M19+M20+M21</f>
        <v>598187.04059999995</v>
      </c>
    </row>
    <row r="24" spans="2:13" ht="15.5" x14ac:dyDescent="0.35">
      <c r="E24" s="7"/>
      <c r="F24" s="35" t="s">
        <v>59</v>
      </c>
      <c r="G24" s="35"/>
      <c r="H24" s="35"/>
      <c r="I24" s="35"/>
      <c r="J24" s="35"/>
      <c r="K24" s="35"/>
      <c r="L24" s="35"/>
      <c r="M24" s="35"/>
    </row>
    <row r="25" spans="2:13" ht="15.5" x14ac:dyDescent="0.35">
      <c r="E25" s="16"/>
      <c r="F25" s="23" t="s">
        <v>13</v>
      </c>
      <c r="G25" s="23"/>
      <c r="H25" s="23"/>
      <c r="I25" s="7"/>
      <c r="J25" s="7"/>
      <c r="K25" s="7"/>
      <c r="L25" s="7"/>
      <c r="M25" s="11"/>
    </row>
    <row r="26" spans="2:13" ht="15.5" x14ac:dyDescent="0.35">
      <c r="E26" s="16"/>
      <c r="F26" s="23" t="s">
        <v>22</v>
      </c>
      <c r="G26" s="23"/>
      <c r="H26" s="23"/>
      <c r="I26" s="7"/>
      <c r="J26" s="7"/>
      <c r="K26" s="7"/>
      <c r="L26" s="7"/>
      <c r="M26" s="11">
        <v>0</v>
      </c>
    </row>
    <row r="27" spans="2:13" ht="15.5" x14ac:dyDescent="0.35">
      <c r="E27" s="16"/>
      <c r="F27" s="23" t="s">
        <v>14</v>
      </c>
      <c r="G27" s="23"/>
      <c r="H27" s="23"/>
      <c r="I27" s="7"/>
      <c r="J27" s="7"/>
      <c r="K27" s="7"/>
      <c r="L27" s="7"/>
      <c r="M27" s="20">
        <f>M23-M25-M26</f>
        <v>598187.04059999995</v>
      </c>
    </row>
    <row r="28" spans="2:13" ht="15.5" x14ac:dyDescent="0.35">
      <c r="E28" s="7"/>
      <c r="F28" s="7"/>
      <c r="G28" s="7"/>
      <c r="H28" s="7"/>
      <c r="I28" s="7"/>
      <c r="J28" s="7"/>
      <c r="K28" s="7"/>
      <c r="L28" s="7"/>
      <c r="M28" s="7"/>
    </row>
    <row r="29" spans="2:13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2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2:13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2:13" x14ac:dyDescent="0.3">
      <c r="E32" s="25" t="s">
        <v>15</v>
      </c>
      <c r="F32" s="25"/>
      <c r="G32" s="25"/>
      <c r="H32" s="25"/>
      <c r="I32" s="25"/>
      <c r="J32" s="25"/>
      <c r="K32" s="25"/>
      <c r="L32" s="25"/>
      <c r="M32" s="25"/>
    </row>
    <row r="33" spans="5:13" x14ac:dyDescent="0.3">
      <c r="E33" s="25"/>
      <c r="F33" s="25"/>
      <c r="G33" s="25"/>
      <c r="H33" s="25"/>
      <c r="I33" s="25"/>
      <c r="J33" s="25"/>
      <c r="K33" s="25"/>
      <c r="L33" s="25"/>
      <c r="M33" s="25"/>
    </row>
    <row r="34" spans="5:13" x14ac:dyDescent="0.3">
      <c r="E34" s="25"/>
      <c r="F34" s="25"/>
      <c r="G34" s="25"/>
      <c r="H34" s="25"/>
      <c r="I34" s="25"/>
      <c r="J34" s="25"/>
      <c r="K34" s="25"/>
      <c r="L34" s="25"/>
      <c r="M34" s="25"/>
    </row>
    <row r="35" spans="5:13" x14ac:dyDescent="0.3">
      <c r="E35" s="25"/>
      <c r="F35" s="25"/>
      <c r="G35" s="25"/>
      <c r="H35" s="25"/>
      <c r="I35" s="25"/>
      <c r="J35" s="25"/>
      <c r="K35" s="25"/>
      <c r="L35" s="25"/>
      <c r="M35" s="25"/>
    </row>
    <row r="36" spans="5:13" x14ac:dyDescent="0.3">
      <c r="E36" s="25"/>
      <c r="F36" s="25"/>
      <c r="G36" s="25"/>
      <c r="H36" s="25"/>
      <c r="I36" s="25"/>
      <c r="J36" s="25"/>
      <c r="K36" s="25"/>
      <c r="L36" s="25"/>
      <c r="M36" s="25"/>
    </row>
    <row r="37" spans="5:13" x14ac:dyDescent="0.3">
      <c r="E37" s="25"/>
      <c r="F37" s="25"/>
      <c r="G37" s="25"/>
      <c r="H37" s="25"/>
      <c r="I37" s="25"/>
      <c r="J37" s="25"/>
      <c r="K37" s="25"/>
      <c r="L37" s="25"/>
      <c r="M37" s="25"/>
    </row>
    <row r="38" spans="5:13" ht="15.5" x14ac:dyDescent="0.35">
      <c r="E38" s="7"/>
      <c r="F38" s="7"/>
      <c r="G38" s="7"/>
      <c r="H38" s="7"/>
      <c r="I38" s="7"/>
      <c r="J38" s="7"/>
      <c r="K38" s="7"/>
      <c r="L38" s="7"/>
      <c r="M38" s="7"/>
    </row>
    <row r="39" spans="5:13" ht="15.5" x14ac:dyDescent="0.35">
      <c r="E39" s="7"/>
      <c r="F39" s="7"/>
      <c r="G39" s="7"/>
      <c r="H39" s="7"/>
      <c r="I39" s="7"/>
      <c r="J39" s="7"/>
      <c r="K39" s="7"/>
      <c r="L39" s="7"/>
      <c r="M39" s="7"/>
    </row>
  </sheetData>
  <mergeCells count="35"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F15:H15"/>
    <mergeCell ref="F16:H16"/>
    <mergeCell ref="F17:H17"/>
    <mergeCell ref="F18:H18"/>
    <mergeCell ref="E9:M9"/>
    <mergeCell ref="F10:H10"/>
    <mergeCell ref="F11:H11"/>
    <mergeCell ref="F12:H12"/>
    <mergeCell ref="F13:H13"/>
    <mergeCell ref="F14:H14"/>
    <mergeCell ref="E36:M37"/>
    <mergeCell ref="F19:L19"/>
    <mergeCell ref="F20:L20"/>
    <mergeCell ref="F21:L21"/>
    <mergeCell ref="F22:L22"/>
    <mergeCell ref="F24:M24"/>
    <mergeCell ref="F25:H25"/>
    <mergeCell ref="F26:H26"/>
    <mergeCell ref="F27:H27"/>
    <mergeCell ref="E29:M31"/>
    <mergeCell ref="E32:M33"/>
    <mergeCell ref="E34:M35"/>
  </mergeCells>
  <pageMargins left="0.7" right="0.7" top="0.75" bottom="0.75" header="0.3" footer="0.3"/>
  <pageSetup paperSize="9" scale="5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5DD5-8732-4135-B0E5-47C9D9B42422}">
  <sheetPr>
    <pageSetUpPr fitToPage="1"/>
  </sheetPr>
  <dimension ref="B2:M44"/>
  <sheetViews>
    <sheetView topLeftCell="A9" workbookViewId="0">
      <selection activeCell="F19" sqref="F19:H19"/>
    </sheetView>
  </sheetViews>
  <sheetFormatPr defaultColWidth="8.6328125" defaultRowHeight="14" x14ac:dyDescent="0.3"/>
  <cols>
    <col min="1" max="1" width="8.6328125" style="1"/>
    <col min="2" max="2" width="11.36328125" style="1" bestFit="1" customWidth="1"/>
    <col min="3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3.7265625" style="1" customWidth="1"/>
    <col min="14" max="16384" width="8.6328125" style="1"/>
  </cols>
  <sheetData>
    <row r="2" spans="5:13" ht="17.5" x14ac:dyDescent="0.35">
      <c r="E2" s="21" t="s">
        <v>0</v>
      </c>
      <c r="F2" s="21"/>
      <c r="G2" s="21"/>
      <c r="H2" s="21"/>
      <c r="I2" s="21"/>
      <c r="J2" s="21"/>
      <c r="K2" s="21"/>
      <c r="L2" s="21"/>
      <c r="M2" s="2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2" t="s">
        <v>16</v>
      </c>
      <c r="F4" s="22"/>
      <c r="G4" s="23" t="s">
        <v>24</v>
      </c>
      <c r="H4" s="23"/>
      <c r="I4" s="23"/>
      <c r="J4" s="23"/>
      <c r="K4" s="24" t="s">
        <v>19</v>
      </c>
      <c r="L4" s="24"/>
      <c r="M4" s="7">
        <v>12</v>
      </c>
    </row>
    <row r="5" spans="5:13" ht="18.899999999999999" customHeight="1" x14ac:dyDescent="0.3">
      <c r="E5" s="25" t="s">
        <v>1</v>
      </c>
      <c r="F5" s="25"/>
      <c r="G5" s="26" t="s">
        <v>25</v>
      </c>
      <c r="H5" s="26"/>
      <c r="I5" s="26"/>
      <c r="J5" s="26"/>
      <c r="K5" s="26"/>
      <c r="L5" s="26"/>
      <c r="M5" s="26"/>
    </row>
    <row r="6" spans="5:13" ht="30.9" customHeight="1" x14ac:dyDescent="0.35">
      <c r="E6" s="27" t="s">
        <v>29</v>
      </c>
      <c r="F6" s="27"/>
      <c r="G6" s="27"/>
      <c r="H6" s="27"/>
      <c r="I6" s="27"/>
      <c r="J6" s="27"/>
      <c r="K6" s="8" t="s">
        <v>2</v>
      </c>
      <c r="L6" s="28">
        <v>45717</v>
      </c>
      <c r="M6" s="29"/>
    </row>
    <row r="7" spans="5:13" ht="20.149999999999999" customHeight="1" x14ac:dyDescent="0.3">
      <c r="E7" s="30" t="s">
        <v>3</v>
      </c>
      <c r="F7" s="30"/>
      <c r="G7" s="31" t="s">
        <v>26</v>
      </c>
      <c r="H7" s="31"/>
      <c r="I7" s="31"/>
      <c r="J7" s="31"/>
      <c r="K7" s="14" t="s">
        <v>17</v>
      </c>
      <c r="L7" s="28">
        <v>45717</v>
      </c>
      <c r="M7" s="29"/>
    </row>
    <row r="8" spans="5:13" ht="18.899999999999999" customHeight="1" x14ac:dyDescent="0.3">
      <c r="E8" s="25" t="s">
        <v>5</v>
      </c>
      <c r="F8" s="25"/>
      <c r="G8" s="26" t="s">
        <v>27</v>
      </c>
      <c r="H8" s="26"/>
      <c r="I8" s="26"/>
      <c r="J8" s="26"/>
      <c r="K8" s="26"/>
      <c r="L8" s="26"/>
      <c r="M8" s="26"/>
    </row>
    <row r="9" spans="5:13" ht="20.399999999999999" customHeight="1" x14ac:dyDescent="0.3">
      <c r="E9" s="25" t="s">
        <v>4</v>
      </c>
      <c r="F9" s="25"/>
      <c r="G9" s="25"/>
      <c r="H9" s="25"/>
      <c r="I9" s="25"/>
      <c r="J9" s="25"/>
      <c r="K9" s="25"/>
      <c r="L9" s="25"/>
      <c r="M9" s="25"/>
    </row>
    <row r="10" spans="5:13" ht="30" x14ac:dyDescent="0.3">
      <c r="E10" s="2" t="s">
        <v>12</v>
      </c>
      <c r="F10" s="32" t="s">
        <v>6</v>
      </c>
      <c r="G10" s="32"/>
      <c r="H10" s="32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5.5" x14ac:dyDescent="0.3">
      <c r="E11" s="4">
        <v>1</v>
      </c>
      <c r="F11" s="31" t="s">
        <v>60</v>
      </c>
      <c r="G11" s="31"/>
      <c r="H11" s="31"/>
      <c r="I11" s="5">
        <v>1</v>
      </c>
      <c r="J11" s="12">
        <v>50746</v>
      </c>
      <c r="K11" s="17" t="s">
        <v>28</v>
      </c>
      <c r="L11" s="4">
        <v>4</v>
      </c>
      <c r="M11" s="9">
        <f>L11*J11*I11</f>
        <v>202984</v>
      </c>
    </row>
    <row r="12" spans="5:13" ht="15.5" x14ac:dyDescent="0.3">
      <c r="E12" s="4">
        <v>2</v>
      </c>
      <c r="F12" s="31" t="s">
        <v>61</v>
      </c>
      <c r="G12" s="31"/>
      <c r="H12" s="31"/>
      <c r="I12" s="5">
        <v>1</v>
      </c>
      <c r="J12" s="12">
        <v>50746</v>
      </c>
      <c r="K12" s="17" t="s">
        <v>28</v>
      </c>
      <c r="L12" s="4">
        <v>4</v>
      </c>
      <c r="M12" s="9">
        <f>L12*J12*I12</f>
        <v>202984</v>
      </c>
    </row>
    <row r="13" spans="5:13" ht="15.5" x14ac:dyDescent="0.3">
      <c r="E13" s="4">
        <v>3</v>
      </c>
      <c r="F13" s="31" t="s">
        <v>62</v>
      </c>
      <c r="G13" s="31"/>
      <c r="H13" s="31"/>
      <c r="I13" s="5">
        <v>1</v>
      </c>
      <c r="J13" s="12">
        <v>72030</v>
      </c>
      <c r="K13" s="17" t="s">
        <v>28</v>
      </c>
      <c r="L13" s="4">
        <v>2</v>
      </c>
      <c r="M13" s="9">
        <f t="shared" ref="M13:M17" si="0">L13*J13*I13</f>
        <v>144060</v>
      </c>
    </row>
    <row r="14" spans="5:13" ht="15.5" x14ac:dyDescent="0.3">
      <c r="E14" s="4">
        <v>4</v>
      </c>
      <c r="F14" s="31" t="s">
        <v>63</v>
      </c>
      <c r="G14" s="31"/>
      <c r="H14" s="31"/>
      <c r="I14" s="5">
        <v>1</v>
      </c>
      <c r="J14" s="12">
        <v>59779</v>
      </c>
      <c r="K14" s="17" t="s">
        <v>28</v>
      </c>
      <c r="L14" s="4">
        <v>1.5</v>
      </c>
      <c r="M14" s="9">
        <f t="shared" si="0"/>
        <v>89668.5</v>
      </c>
    </row>
    <row r="15" spans="5:13" ht="15.5" x14ac:dyDescent="0.3">
      <c r="E15" s="4">
        <v>5</v>
      </c>
      <c r="F15" s="31" t="s">
        <v>64</v>
      </c>
      <c r="G15" s="31"/>
      <c r="H15" s="31"/>
      <c r="I15" s="5">
        <v>1</v>
      </c>
      <c r="J15" s="12">
        <v>38259</v>
      </c>
      <c r="K15" s="17" t="s">
        <v>28</v>
      </c>
      <c r="L15" s="4">
        <v>1.5</v>
      </c>
      <c r="M15" s="9">
        <f t="shared" si="0"/>
        <v>57388.5</v>
      </c>
    </row>
    <row r="16" spans="5:13" ht="15.5" x14ac:dyDescent="0.3">
      <c r="E16" s="4">
        <v>6</v>
      </c>
      <c r="F16" s="31" t="s">
        <v>65</v>
      </c>
      <c r="G16" s="31"/>
      <c r="H16" s="31"/>
      <c r="I16" s="5">
        <v>1</v>
      </c>
      <c r="J16" s="12">
        <v>25</v>
      </c>
      <c r="K16" s="17" t="s">
        <v>66</v>
      </c>
      <c r="L16" s="4">
        <v>2500</v>
      </c>
      <c r="M16" s="9">
        <f t="shared" si="0"/>
        <v>62500</v>
      </c>
    </row>
    <row r="17" spans="2:13" ht="32.5" customHeight="1" x14ac:dyDescent="0.3">
      <c r="E17" s="4">
        <v>7</v>
      </c>
      <c r="F17" s="31" t="s">
        <v>67</v>
      </c>
      <c r="G17" s="31"/>
      <c r="H17" s="31"/>
      <c r="I17" s="5">
        <v>1</v>
      </c>
      <c r="J17" s="12">
        <v>16</v>
      </c>
      <c r="K17" s="17" t="s">
        <v>66</v>
      </c>
      <c r="L17" s="4">
        <v>2500</v>
      </c>
      <c r="M17" s="9">
        <f t="shared" si="0"/>
        <v>40000</v>
      </c>
    </row>
    <row r="18" spans="2:13" ht="15.5" x14ac:dyDescent="0.3">
      <c r="E18" s="4">
        <v>2</v>
      </c>
      <c r="F18" s="31" t="s">
        <v>61</v>
      </c>
      <c r="G18" s="31"/>
      <c r="H18" s="31"/>
      <c r="I18" s="5">
        <v>1</v>
      </c>
      <c r="J18" s="12">
        <v>50746</v>
      </c>
      <c r="K18" s="17" t="s">
        <v>28</v>
      </c>
      <c r="L18" s="4">
        <v>4</v>
      </c>
      <c r="M18" s="9">
        <f>L18*J18*I18</f>
        <v>202984</v>
      </c>
    </row>
    <row r="19" spans="2:13" ht="15.5" x14ac:dyDescent="0.3">
      <c r="E19" s="4">
        <v>3</v>
      </c>
      <c r="F19" s="31" t="s">
        <v>62</v>
      </c>
      <c r="G19" s="31"/>
      <c r="H19" s="31"/>
      <c r="I19" s="5">
        <v>1</v>
      </c>
      <c r="J19" s="12">
        <v>72030</v>
      </c>
      <c r="K19" s="17" t="s">
        <v>28</v>
      </c>
      <c r="L19" s="4">
        <v>2</v>
      </c>
      <c r="M19" s="9">
        <f t="shared" ref="M19:M23" si="1">L19*J19*I19</f>
        <v>144060</v>
      </c>
    </row>
    <row r="20" spans="2:13" ht="15.5" x14ac:dyDescent="0.3">
      <c r="E20" s="4">
        <v>4</v>
      </c>
      <c r="F20" s="31" t="s">
        <v>63</v>
      </c>
      <c r="G20" s="31"/>
      <c r="H20" s="31"/>
      <c r="I20" s="5">
        <v>1</v>
      </c>
      <c r="J20" s="12">
        <v>59779</v>
      </c>
      <c r="K20" s="17" t="s">
        <v>28</v>
      </c>
      <c r="L20" s="4">
        <v>1.5</v>
      </c>
      <c r="M20" s="9">
        <f t="shared" si="1"/>
        <v>89668.5</v>
      </c>
    </row>
    <row r="21" spans="2:13" ht="15.5" x14ac:dyDescent="0.3">
      <c r="E21" s="4">
        <v>5</v>
      </c>
      <c r="F21" s="31" t="s">
        <v>64</v>
      </c>
      <c r="G21" s="31"/>
      <c r="H21" s="31"/>
      <c r="I21" s="5">
        <v>1</v>
      </c>
      <c r="J21" s="12">
        <v>38259</v>
      </c>
      <c r="K21" s="17" t="s">
        <v>28</v>
      </c>
      <c r="L21" s="4">
        <v>1.5</v>
      </c>
      <c r="M21" s="9">
        <f t="shared" si="1"/>
        <v>57388.5</v>
      </c>
    </row>
    <row r="22" spans="2:13" ht="15.5" x14ac:dyDescent="0.3">
      <c r="E22" s="4">
        <v>6</v>
      </c>
      <c r="F22" s="31" t="s">
        <v>65</v>
      </c>
      <c r="G22" s="31"/>
      <c r="H22" s="31"/>
      <c r="I22" s="5">
        <v>1</v>
      </c>
      <c r="J22" s="12">
        <v>25</v>
      </c>
      <c r="K22" s="17" t="s">
        <v>66</v>
      </c>
      <c r="L22" s="4">
        <v>2500</v>
      </c>
      <c r="M22" s="9">
        <f t="shared" si="1"/>
        <v>62500</v>
      </c>
    </row>
    <row r="23" spans="2:13" ht="32.5" customHeight="1" x14ac:dyDescent="0.3">
      <c r="E23" s="4">
        <v>7</v>
      </c>
      <c r="F23" s="31" t="s">
        <v>67</v>
      </c>
      <c r="G23" s="31"/>
      <c r="H23" s="31"/>
      <c r="I23" s="5">
        <v>1</v>
      </c>
      <c r="J23" s="12">
        <v>16</v>
      </c>
      <c r="K23" s="17" t="s">
        <v>66</v>
      </c>
      <c r="L23" s="4">
        <v>2500</v>
      </c>
      <c r="M23" s="9">
        <f t="shared" si="1"/>
        <v>40000</v>
      </c>
    </row>
    <row r="24" spans="2:13" ht="17.399999999999999" customHeight="1" x14ac:dyDescent="0.35">
      <c r="E24" s="16"/>
      <c r="F24" s="33" t="s">
        <v>18</v>
      </c>
      <c r="G24" s="33"/>
      <c r="H24" s="33"/>
      <c r="I24" s="33"/>
      <c r="J24" s="33"/>
      <c r="K24" s="33"/>
      <c r="L24" s="33"/>
      <c r="M24" s="10">
        <f>SUM(M11:M23)</f>
        <v>1396186</v>
      </c>
    </row>
    <row r="25" spans="2:13" ht="17.399999999999999" customHeight="1" x14ac:dyDescent="0.35">
      <c r="B25" s="19"/>
      <c r="E25" s="16"/>
      <c r="F25" s="34" t="s">
        <v>20</v>
      </c>
      <c r="G25" s="34"/>
      <c r="H25" s="34"/>
      <c r="I25" s="34"/>
      <c r="J25" s="34"/>
      <c r="K25" s="34"/>
      <c r="L25" s="34"/>
      <c r="M25" s="6">
        <f>M24*9%</f>
        <v>125656.73999999999</v>
      </c>
    </row>
    <row r="26" spans="2:13" ht="17.399999999999999" customHeight="1" x14ac:dyDescent="0.35">
      <c r="B26" s="18"/>
      <c r="E26" s="16"/>
      <c r="F26" s="34" t="s">
        <v>21</v>
      </c>
      <c r="G26" s="34"/>
      <c r="H26" s="34"/>
      <c r="I26" s="34"/>
      <c r="J26" s="34"/>
      <c r="K26" s="34"/>
      <c r="L26" s="34"/>
      <c r="M26" s="6">
        <f>M24*9%</f>
        <v>125656.73999999999</v>
      </c>
    </row>
    <row r="27" spans="2:13" ht="17.399999999999999" customHeight="1" x14ac:dyDescent="0.35">
      <c r="B27" s="19"/>
      <c r="E27" s="16"/>
      <c r="F27" s="34" t="s">
        <v>23</v>
      </c>
      <c r="G27" s="34"/>
      <c r="H27" s="34"/>
      <c r="I27" s="34"/>
      <c r="J27" s="34"/>
      <c r="K27" s="34"/>
      <c r="L27" s="34"/>
      <c r="M27" s="10"/>
    </row>
    <row r="28" spans="2:13" ht="17.399999999999999" customHeight="1" x14ac:dyDescent="0.35">
      <c r="E28" s="16"/>
      <c r="F28" s="13"/>
      <c r="G28" s="13"/>
      <c r="H28" s="13"/>
      <c r="I28" s="13"/>
      <c r="J28" s="13"/>
      <c r="K28" s="13"/>
      <c r="L28" s="13"/>
      <c r="M28" s="10">
        <f>M24+M25+M26</f>
        <v>1647499.48</v>
      </c>
    </row>
    <row r="29" spans="2:13" ht="15.5" x14ac:dyDescent="0.35">
      <c r="E29" s="7"/>
      <c r="F29" s="35" t="s">
        <v>68</v>
      </c>
      <c r="G29" s="35"/>
      <c r="H29" s="35"/>
      <c r="I29" s="35"/>
      <c r="J29" s="35"/>
      <c r="K29" s="35"/>
      <c r="L29" s="35"/>
      <c r="M29" s="35"/>
    </row>
    <row r="30" spans="2:13" ht="15.5" x14ac:dyDescent="0.35">
      <c r="E30" s="16"/>
      <c r="F30" s="23" t="s">
        <v>13</v>
      </c>
      <c r="G30" s="23"/>
      <c r="H30" s="23"/>
      <c r="I30" s="7"/>
      <c r="J30" s="7"/>
      <c r="K30" s="7"/>
      <c r="L30" s="7"/>
      <c r="M30" s="11"/>
    </row>
    <row r="31" spans="2:13" ht="15.5" x14ac:dyDescent="0.35">
      <c r="E31" s="16"/>
      <c r="F31" s="23" t="s">
        <v>22</v>
      </c>
      <c r="G31" s="23"/>
      <c r="H31" s="23"/>
      <c r="I31" s="7"/>
      <c r="J31" s="7"/>
      <c r="K31" s="7"/>
      <c r="L31" s="7"/>
      <c r="M31" s="11">
        <v>0</v>
      </c>
    </row>
    <row r="32" spans="2:13" ht="15.5" x14ac:dyDescent="0.35">
      <c r="E32" s="16"/>
      <c r="F32" s="23" t="s">
        <v>14</v>
      </c>
      <c r="G32" s="23"/>
      <c r="H32" s="23"/>
      <c r="I32" s="7"/>
      <c r="J32" s="7"/>
      <c r="K32" s="7"/>
      <c r="L32" s="7"/>
      <c r="M32" s="20">
        <f>M28-M30-M31</f>
        <v>1647499.48</v>
      </c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6"/>
      <c r="F35" s="26"/>
      <c r="G35" s="26"/>
      <c r="H35" s="26"/>
      <c r="I35" s="26"/>
      <c r="J35" s="26"/>
      <c r="K35" s="26"/>
      <c r="L35" s="26"/>
      <c r="M35" s="26"/>
    </row>
    <row r="36" spans="5:13" x14ac:dyDescent="0.3">
      <c r="E36" s="26"/>
      <c r="F36" s="26"/>
      <c r="G36" s="26"/>
      <c r="H36" s="26"/>
      <c r="I36" s="26"/>
      <c r="J36" s="26"/>
      <c r="K36" s="26"/>
      <c r="L36" s="26"/>
      <c r="M36" s="26"/>
    </row>
    <row r="37" spans="5:13" x14ac:dyDescent="0.3">
      <c r="E37" s="25" t="s">
        <v>15</v>
      </c>
      <c r="F37" s="25"/>
      <c r="G37" s="25"/>
      <c r="H37" s="25"/>
      <c r="I37" s="25"/>
      <c r="J37" s="25"/>
      <c r="K37" s="25"/>
      <c r="L37" s="25"/>
      <c r="M37" s="25"/>
    </row>
    <row r="38" spans="5:13" x14ac:dyDescent="0.3">
      <c r="E38" s="25"/>
      <c r="F38" s="25"/>
      <c r="G38" s="25"/>
      <c r="H38" s="25"/>
      <c r="I38" s="25"/>
      <c r="J38" s="25"/>
      <c r="K38" s="25"/>
      <c r="L38" s="25"/>
      <c r="M38" s="25"/>
    </row>
    <row r="39" spans="5:13" x14ac:dyDescent="0.3">
      <c r="E39" s="25"/>
      <c r="F39" s="25"/>
      <c r="G39" s="25"/>
      <c r="H39" s="25"/>
      <c r="I39" s="25"/>
      <c r="J39" s="25"/>
      <c r="K39" s="25"/>
      <c r="L39" s="25"/>
      <c r="M39" s="25"/>
    </row>
    <row r="40" spans="5:13" x14ac:dyDescent="0.3">
      <c r="E40" s="25"/>
      <c r="F40" s="25"/>
      <c r="G40" s="25"/>
      <c r="H40" s="25"/>
      <c r="I40" s="25"/>
      <c r="J40" s="25"/>
      <c r="K40" s="25"/>
      <c r="L40" s="25"/>
      <c r="M40" s="25"/>
    </row>
    <row r="41" spans="5:13" x14ac:dyDescent="0.3">
      <c r="E41" s="25"/>
      <c r="F41" s="25"/>
      <c r="G41" s="25"/>
      <c r="H41" s="25"/>
      <c r="I41" s="25"/>
      <c r="J41" s="25"/>
      <c r="K41" s="25"/>
      <c r="L41" s="25"/>
      <c r="M41" s="25"/>
    </row>
    <row r="42" spans="5:13" x14ac:dyDescent="0.3">
      <c r="E42" s="25"/>
      <c r="F42" s="25"/>
      <c r="G42" s="25"/>
      <c r="H42" s="25"/>
      <c r="I42" s="25"/>
      <c r="J42" s="25"/>
      <c r="K42" s="25"/>
      <c r="L42" s="25"/>
      <c r="M42" s="25"/>
    </row>
    <row r="43" spans="5:13" ht="15.5" x14ac:dyDescent="0.35">
      <c r="E43" s="7"/>
      <c r="F43" s="7"/>
      <c r="G43" s="7"/>
      <c r="H43" s="7"/>
      <c r="I43" s="7"/>
      <c r="J43" s="7"/>
      <c r="K43" s="7"/>
      <c r="L43" s="7"/>
      <c r="M43" s="7"/>
    </row>
    <row r="44" spans="5:13" ht="15.5" x14ac:dyDescent="0.35">
      <c r="E44" s="7"/>
      <c r="F44" s="7"/>
      <c r="G44" s="7"/>
      <c r="H44" s="7"/>
      <c r="I44" s="7"/>
      <c r="J44" s="7"/>
      <c r="K44" s="7"/>
      <c r="L44" s="7"/>
      <c r="M44" s="7"/>
    </row>
  </sheetData>
  <mergeCells count="40">
    <mergeCell ref="E2:M2"/>
    <mergeCell ref="E4:F4"/>
    <mergeCell ref="G4:J4"/>
    <mergeCell ref="K4:L4"/>
    <mergeCell ref="E5:F5"/>
    <mergeCell ref="G5:M5"/>
    <mergeCell ref="E8:F8"/>
    <mergeCell ref="G8:M8"/>
    <mergeCell ref="F12:H12"/>
    <mergeCell ref="F13:H13"/>
    <mergeCell ref="F14:H14"/>
    <mergeCell ref="E9:M9"/>
    <mergeCell ref="F10:H10"/>
    <mergeCell ref="F11:H11"/>
    <mergeCell ref="E6:J6"/>
    <mergeCell ref="L6:M6"/>
    <mergeCell ref="E7:F7"/>
    <mergeCell ref="G7:J7"/>
    <mergeCell ref="L7:M7"/>
    <mergeCell ref="F15:H15"/>
    <mergeCell ref="F16:H16"/>
    <mergeCell ref="F17:H17"/>
    <mergeCell ref="F23:H23"/>
    <mergeCell ref="F24:L24"/>
    <mergeCell ref="F19:H19"/>
    <mergeCell ref="F18:H18"/>
    <mergeCell ref="F25:L25"/>
    <mergeCell ref="E34:M36"/>
    <mergeCell ref="E37:M38"/>
    <mergeCell ref="F20:H20"/>
    <mergeCell ref="F22:H22"/>
    <mergeCell ref="F21:H21"/>
    <mergeCell ref="E39:M40"/>
    <mergeCell ref="E41:M42"/>
    <mergeCell ref="F26:L26"/>
    <mergeCell ref="F27:L27"/>
    <mergeCell ref="F29:M29"/>
    <mergeCell ref="F30:H30"/>
    <mergeCell ref="F31:H31"/>
    <mergeCell ref="F32:H32"/>
  </mergeCells>
  <pageMargins left="0.7" right="0.7" top="0.75" bottom="0.75" header="0.3" footer="0.3"/>
  <pageSetup paperSize="9" scale="56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D327-A669-48D6-926E-0B854DDD7397}">
  <sheetPr>
    <pageSetUpPr fitToPage="1"/>
  </sheetPr>
  <dimension ref="B2:M42"/>
  <sheetViews>
    <sheetView topLeftCell="A7" workbookViewId="0">
      <selection activeCell="E2" sqref="E2:M38"/>
    </sheetView>
  </sheetViews>
  <sheetFormatPr defaultColWidth="8.6328125" defaultRowHeight="14" x14ac:dyDescent="0.3"/>
  <cols>
    <col min="1" max="1" width="8.6328125" style="1"/>
    <col min="2" max="2" width="11.36328125" style="1" bestFit="1" customWidth="1"/>
    <col min="3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3.7265625" style="1" customWidth="1"/>
    <col min="14" max="16384" width="8.6328125" style="1"/>
  </cols>
  <sheetData>
    <row r="2" spans="5:13" ht="17.5" x14ac:dyDescent="0.35">
      <c r="E2" s="21" t="s">
        <v>0</v>
      </c>
      <c r="F2" s="21"/>
      <c r="G2" s="21"/>
      <c r="H2" s="21"/>
      <c r="I2" s="21"/>
      <c r="J2" s="21"/>
      <c r="K2" s="21"/>
      <c r="L2" s="21"/>
      <c r="M2" s="2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2" t="s">
        <v>16</v>
      </c>
      <c r="F4" s="22"/>
      <c r="G4" s="23" t="s">
        <v>24</v>
      </c>
      <c r="H4" s="23"/>
      <c r="I4" s="23"/>
      <c r="J4" s="23"/>
      <c r="K4" s="24" t="s">
        <v>19</v>
      </c>
      <c r="L4" s="24"/>
      <c r="M4" s="7">
        <v>12</v>
      </c>
    </row>
    <row r="5" spans="5:13" ht="18.899999999999999" customHeight="1" x14ac:dyDescent="0.3">
      <c r="E5" s="25" t="s">
        <v>1</v>
      </c>
      <c r="F5" s="25"/>
      <c r="G5" s="26" t="s">
        <v>25</v>
      </c>
      <c r="H5" s="26"/>
      <c r="I5" s="26"/>
      <c r="J5" s="26"/>
      <c r="K5" s="26"/>
      <c r="L5" s="26"/>
      <c r="M5" s="26"/>
    </row>
    <row r="6" spans="5:13" ht="30.9" customHeight="1" x14ac:dyDescent="0.35">
      <c r="E6" s="27" t="s">
        <v>29</v>
      </c>
      <c r="F6" s="27"/>
      <c r="G6" s="27"/>
      <c r="H6" s="27"/>
      <c r="I6" s="27"/>
      <c r="J6" s="27"/>
      <c r="K6" s="8" t="s">
        <v>2</v>
      </c>
      <c r="L6" s="28">
        <v>45717</v>
      </c>
      <c r="M6" s="29"/>
    </row>
    <row r="7" spans="5:13" ht="20.149999999999999" customHeight="1" x14ac:dyDescent="0.3">
      <c r="E7" s="30" t="s">
        <v>3</v>
      </c>
      <c r="F7" s="30"/>
      <c r="G7" s="31" t="s">
        <v>26</v>
      </c>
      <c r="H7" s="31"/>
      <c r="I7" s="31"/>
      <c r="J7" s="31"/>
      <c r="K7" s="14" t="s">
        <v>17</v>
      </c>
      <c r="L7" s="28">
        <v>45717</v>
      </c>
      <c r="M7" s="29"/>
    </row>
    <row r="8" spans="5:13" ht="18.899999999999999" customHeight="1" x14ac:dyDescent="0.3">
      <c r="E8" s="25" t="s">
        <v>5</v>
      </c>
      <c r="F8" s="25"/>
      <c r="G8" s="26" t="s">
        <v>27</v>
      </c>
      <c r="H8" s="26"/>
      <c r="I8" s="26"/>
      <c r="J8" s="26"/>
      <c r="K8" s="26"/>
      <c r="L8" s="26"/>
      <c r="M8" s="26"/>
    </row>
    <row r="9" spans="5:13" ht="20.399999999999999" customHeight="1" x14ac:dyDescent="0.3">
      <c r="E9" s="25" t="s">
        <v>4</v>
      </c>
      <c r="F9" s="25"/>
      <c r="G9" s="25"/>
      <c r="H9" s="25"/>
      <c r="I9" s="25"/>
      <c r="J9" s="25"/>
      <c r="K9" s="25"/>
      <c r="L9" s="25"/>
      <c r="M9" s="25"/>
    </row>
    <row r="10" spans="5:13" ht="30" x14ac:dyDescent="0.3">
      <c r="E10" s="2" t="s">
        <v>12</v>
      </c>
      <c r="F10" s="32" t="s">
        <v>6</v>
      </c>
      <c r="G10" s="32"/>
      <c r="H10" s="32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5.5" x14ac:dyDescent="0.3">
      <c r="E11" s="4">
        <v>1</v>
      </c>
      <c r="F11" s="31" t="s">
        <v>69</v>
      </c>
      <c r="G11" s="31"/>
      <c r="H11" s="31"/>
      <c r="I11" s="5">
        <v>1</v>
      </c>
      <c r="J11" s="12">
        <v>9405</v>
      </c>
      <c r="K11" s="17" t="s">
        <v>28</v>
      </c>
      <c r="L11" s="4">
        <v>1.7</v>
      </c>
      <c r="M11" s="9">
        <f>L11*J11*I11</f>
        <v>15988.5</v>
      </c>
    </row>
    <row r="12" spans="5:13" ht="15.5" x14ac:dyDescent="0.3">
      <c r="E12" s="4">
        <v>2</v>
      </c>
      <c r="F12" s="31" t="s">
        <v>70</v>
      </c>
      <c r="G12" s="31"/>
      <c r="H12" s="31"/>
      <c r="I12" s="5">
        <v>1</v>
      </c>
      <c r="J12" s="12">
        <v>5921</v>
      </c>
      <c r="K12" s="17" t="s">
        <v>28</v>
      </c>
      <c r="L12" s="4">
        <v>8</v>
      </c>
      <c r="M12" s="9">
        <f>L12*J12*I12</f>
        <v>47368</v>
      </c>
    </row>
    <row r="13" spans="5:13" ht="15.5" x14ac:dyDescent="0.3">
      <c r="E13" s="4">
        <v>3</v>
      </c>
      <c r="F13" s="31" t="s">
        <v>71</v>
      </c>
      <c r="G13" s="31"/>
      <c r="H13" s="31"/>
      <c r="I13" s="5">
        <v>1</v>
      </c>
      <c r="J13" s="12">
        <v>9954</v>
      </c>
      <c r="K13" s="17" t="s">
        <v>28</v>
      </c>
      <c r="L13" s="4">
        <v>1.5</v>
      </c>
      <c r="M13" s="9">
        <f t="shared" ref="M13:M21" si="0">L13*J13*I13</f>
        <v>14931</v>
      </c>
    </row>
    <row r="14" spans="5:13" ht="15.5" x14ac:dyDescent="0.3">
      <c r="E14" s="4">
        <v>4</v>
      </c>
      <c r="F14" s="31" t="s">
        <v>72</v>
      </c>
      <c r="G14" s="31"/>
      <c r="H14" s="31"/>
      <c r="I14" s="5">
        <v>1</v>
      </c>
      <c r="J14" s="12">
        <f>2391*24</f>
        <v>57384</v>
      </c>
      <c r="K14" s="17" t="s">
        <v>28</v>
      </c>
      <c r="L14" s="4">
        <v>2</v>
      </c>
      <c r="M14" s="9">
        <f t="shared" si="0"/>
        <v>114768</v>
      </c>
    </row>
    <row r="15" spans="5:13" ht="15.5" x14ac:dyDescent="0.3">
      <c r="E15" s="4">
        <v>5</v>
      </c>
      <c r="F15" s="31" t="s">
        <v>73</v>
      </c>
      <c r="G15" s="31"/>
      <c r="H15" s="31"/>
      <c r="I15" s="5">
        <v>1</v>
      </c>
      <c r="J15" s="12">
        <v>9405</v>
      </c>
      <c r="K15" s="17" t="s">
        <v>28</v>
      </c>
      <c r="L15" s="4">
        <v>3</v>
      </c>
      <c r="M15" s="9">
        <f t="shared" si="0"/>
        <v>28215</v>
      </c>
    </row>
    <row r="16" spans="5:13" ht="15.5" x14ac:dyDescent="0.3">
      <c r="E16" s="4">
        <v>6</v>
      </c>
      <c r="F16" s="31" t="s">
        <v>74</v>
      </c>
      <c r="G16" s="31"/>
      <c r="H16" s="31"/>
      <c r="I16" s="5">
        <v>1</v>
      </c>
      <c r="J16" s="12">
        <v>23052</v>
      </c>
      <c r="K16" s="17" t="s">
        <v>28</v>
      </c>
      <c r="L16" s="4">
        <v>1.25</v>
      </c>
      <c r="M16" s="9">
        <f t="shared" ref="M16:M19" si="1">L16*J16*I16</f>
        <v>28815</v>
      </c>
    </row>
    <row r="17" spans="2:13" ht="15.5" x14ac:dyDescent="0.3">
      <c r="E17" s="4">
        <v>7</v>
      </c>
      <c r="F17" s="31" t="s">
        <v>75</v>
      </c>
      <c r="G17" s="31"/>
      <c r="H17" s="31"/>
      <c r="I17" s="5">
        <v>1</v>
      </c>
      <c r="J17" s="12">
        <v>8168.46</v>
      </c>
      <c r="K17" s="17" t="s">
        <v>28</v>
      </c>
      <c r="L17" s="4">
        <v>5</v>
      </c>
      <c r="M17" s="9">
        <f t="shared" si="1"/>
        <v>40842.300000000003</v>
      </c>
    </row>
    <row r="18" spans="2:13" ht="15.5" x14ac:dyDescent="0.3">
      <c r="E18" s="4">
        <v>8</v>
      </c>
      <c r="F18" s="31" t="s">
        <v>76</v>
      </c>
      <c r="G18" s="31"/>
      <c r="H18" s="31"/>
      <c r="I18" s="5">
        <v>1</v>
      </c>
      <c r="J18" s="12">
        <v>686</v>
      </c>
      <c r="K18" s="17" t="s">
        <v>28</v>
      </c>
      <c r="L18" s="4">
        <v>1.5</v>
      </c>
      <c r="M18" s="9">
        <f t="shared" si="1"/>
        <v>1029</v>
      </c>
    </row>
    <row r="19" spans="2:13" ht="15.5" x14ac:dyDescent="0.3">
      <c r="E19" s="4">
        <v>9</v>
      </c>
      <c r="F19" s="31" t="s">
        <v>77</v>
      </c>
      <c r="G19" s="31"/>
      <c r="H19" s="31"/>
      <c r="I19" s="5">
        <v>1</v>
      </c>
      <c r="J19" s="12">
        <v>21247</v>
      </c>
      <c r="K19" s="17" t="s">
        <v>28</v>
      </c>
      <c r="L19" s="4">
        <v>3</v>
      </c>
      <c r="M19" s="9">
        <f t="shared" si="1"/>
        <v>63741</v>
      </c>
    </row>
    <row r="20" spans="2:13" ht="33.5" customHeight="1" x14ac:dyDescent="0.3">
      <c r="E20" s="4">
        <v>10</v>
      </c>
      <c r="F20" s="31" t="s">
        <v>78</v>
      </c>
      <c r="G20" s="31"/>
      <c r="H20" s="31"/>
      <c r="I20" s="5">
        <v>1</v>
      </c>
      <c r="J20" s="12">
        <v>1000</v>
      </c>
      <c r="K20" s="17" t="s">
        <v>28</v>
      </c>
      <c r="L20" s="4">
        <v>3</v>
      </c>
      <c r="M20" s="9">
        <f t="shared" si="0"/>
        <v>3000</v>
      </c>
    </row>
    <row r="21" spans="2:13" ht="15.5" x14ac:dyDescent="0.3">
      <c r="E21" s="4">
        <v>11</v>
      </c>
      <c r="F21" s="31" t="s">
        <v>79</v>
      </c>
      <c r="G21" s="31"/>
      <c r="H21" s="31"/>
      <c r="I21" s="5">
        <v>1</v>
      </c>
      <c r="J21" s="12">
        <v>44</v>
      </c>
      <c r="K21" s="17" t="s">
        <v>80</v>
      </c>
      <c r="L21" s="4">
        <v>2500</v>
      </c>
      <c r="M21" s="9">
        <f t="shared" si="0"/>
        <v>110000</v>
      </c>
    </row>
    <row r="22" spans="2:13" ht="17.399999999999999" customHeight="1" x14ac:dyDescent="0.35">
      <c r="E22" s="16"/>
      <c r="F22" s="33" t="s">
        <v>18</v>
      </c>
      <c r="G22" s="33"/>
      <c r="H22" s="33"/>
      <c r="I22" s="33"/>
      <c r="J22" s="33"/>
      <c r="K22" s="33"/>
      <c r="L22" s="33"/>
      <c r="M22" s="10">
        <f>SUM(M11:M21)</f>
        <v>468697.8</v>
      </c>
    </row>
    <row r="23" spans="2:13" ht="17.399999999999999" customHeight="1" x14ac:dyDescent="0.35">
      <c r="B23" s="19"/>
      <c r="E23" s="16"/>
      <c r="F23" s="34" t="s">
        <v>20</v>
      </c>
      <c r="G23" s="34"/>
      <c r="H23" s="34"/>
      <c r="I23" s="34"/>
      <c r="J23" s="34"/>
      <c r="K23" s="34"/>
      <c r="L23" s="34"/>
      <c r="M23" s="6">
        <f>M22*9%</f>
        <v>42182.801999999996</v>
      </c>
    </row>
    <row r="24" spans="2:13" ht="17.399999999999999" customHeight="1" x14ac:dyDescent="0.35">
      <c r="B24" s="18"/>
      <c r="E24" s="16"/>
      <c r="F24" s="34" t="s">
        <v>21</v>
      </c>
      <c r="G24" s="34"/>
      <c r="H24" s="34"/>
      <c r="I24" s="34"/>
      <c r="J24" s="34"/>
      <c r="K24" s="34"/>
      <c r="L24" s="34"/>
      <c r="M24" s="6">
        <f>M22*9%</f>
        <v>42182.801999999996</v>
      </c>
    </row>
    <row r="25" spans="2:13" ht="17.399999999999999" customHeight="1" x14ac:dyDescent="0.35">
      <c r="B25" s="19"/>
      <c r="E25" s="16"/>
      <c r="F25" s="34" t="s">
        <v>23</v>
      </c>
      <c r="G25" s="34"/>
      <c r="H25" s="34"/>
      <c r="I25" s="34"/>
      <c r="J25" s="34"/>
      <c r="K25" s="34"/>
      <c r="L25" s="34"/>
      <c r="M25" s="10"/>
    </row>
    <row r="26" spans="2:13" ht="17.399999999999999" customHeight="1" x14ac:dyDescent="0.35">
      <c r="E26" s="16"/>
      <c r="F26" s="13"/>
      <c r="G26" s="13"/>
      <c r="H26" s="13"/>
      <c r="I26" s="13"/>
      <c r="J26" s="13"/>
      <c r="K26" s="13"/>
      <c r="L26" s="13"/>
      <c r="M26" s="10">
        <f>M22+M23+M24</f>
        <v>553063.40399999998</v>
      </c>
    </row>
    <row r="27" spans="2:13" ht="15.5" x14ac:dyDescent="0.35">
      <c r="E27" s="7"/>
      <c r="F27" s="35" t="s">
        <v>81</v>
      </c>
      <c r="G27" s="35"/>
      <c r="H27" s="35"/>
      <c r="I27" s="35"/>
      <c r="J27" s="35"/>
      <c r="K27" s="35"/>
      <c r="L27" s="35"/>
      <c r="M27" s="35"/>
    </row>
    <row r="28" spans="2:13" ht="15.5" x14ac:dyDescent="0.35">
      <c r="E28" s="16"/>
      <c r="F28" s="23" t="s">
        <v>13</v>
      </c>
      <c r="G28" s="23"/>
      <c r="H28" s="23"/>
      <c r="I28" s="7"/>
      <c r="J28" s="7"/>
      <c r="K28" s="7"/>
      <c r="L28" s="7"/>
      <c r="M28" s="11"/>
    </row>
    <row r="29" spans="2:13" ht="15.5" x14ac:dyDescent="0.35">
      <c r="E29" s="16"/>
      <c r="F29" s="23" t="s">
        <v>22</v>
      </c>
      <c r="G29" s="23"/>
      <c r="H29" s="23"/>
      <c r="I29" s="7"/>
      <c r="J29" s="7"/>
      <c r="K29" s="7"/>
      <c r="L29" s="7"/>
      <c r="M29" s="11">
        <v>0</v>
      </c>
    </row>
    <row r="30" spans="2:13" ht="15.5" x14ac:dyDescent="0.35">
      <c r="E30" s="16"/>
      <c r="F30" s="23" t="s">
        <v>14</v>
      </c>
      <c r="G30" s="23"/>
      <c r="H30" s="23"/>
      <c r="I30" s="7"/>
      <c r="J30" s="7"/>
      <c r="K30" s="7"/>
      <c r="L30" s="7"/>
      <c r="M30" s="20">
        <f>M26-M28-M29</f>
        <v>553063.40399999998</v>
      </c>
    </row>
    <row r="31" spans="2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2:13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5" t="s">
        <v>15</v>
      </c>
      <c r="F35" s="25"/>
      <c r="G35" s="25"/>
      <c r="H35" s="25"/>
      <c r="I35" s="25"/>
      <c r="J35" s="25"/>
      <c r="K35" s="25"/>
      <c r="L35" s="25"/>
      <c r="M35" s="25"/>
    </row>
    <row r="36" spans="5:13" x14ac:dyDescent="0.3">
      <c r="E36" s="25"/>
      <c r="F36" s="25"/>
      <c r="G36" s="25"/>
      <c r="H36" s="25"/>
      <c r="I36" s="25"/>
      <c r="J36" s="25"/>
      <c r="K36" s="25"/>
      <c r="L36" s="25"/>
      <c r="M36" s="25"/>
    </row>
    <row r="37" spans="5:13" x14ac:dyDescent="0.3">
      <c r="E37" s="25"/>
      <c r="F37" s="25"/>
      <c r="G37" s="25"/>
      <c r="H37" s="25"/>
      <c r="I37" s="25"/>
      <c r="J37" s="25"/>
      <c r="K37" s="25"/>
      <c r="L37" s="25"/>
      <c r="M37" s="25"/>
    </row>
    <row r="38" spans="5:13" x14ac:dyDescent="0.3">
      <c r="E38" s="25"/>
      <c r="F38" s="25"/>
      <c r="G38" s="25"/>
      <c r="H38" s="25"/>
      <c r="I38" s="25"/>
      <c r="J38" s="25"/>
      <c r="K38" s="25"/>
      <c r="L38" s="25"/>
      <c r="M38" s="25"/>
    </row>
    <row r="39" spans="5:13" x14ac:dyDescent="0.3">
      <c r="E39" s="25"/>
      <c r="F39" s="25"/>
      <c r="G39" s="25"/>
      <c r="H39" s="25"/>
      <c r="I39" s="25"/>
      <c r="J39" s="25"/>
      <c r="K39" s="25"/>
      <c r="L39" s="25"/>
      <c r="M39" s="25"/>
    </row>
    <row r="40" spans="5:13" x14ac:dyDescent="0.3">
      <c r="E40" s="25"/>
      <c r="F40" s="25"/>
      <c r="G40" s="25"/>
      <c r="H40" s="25"/>
      <c r="I40" s="25"/>
      <c r="J40" s="25"/>
      <c r="K40" s="25"/>
      <c r="L40" s="25"/>
      <c r="M40" s="25"/>
    </row>
    <row r="41" spans="5:13" ht="15.5" x14ac:dyDescent="0.35">
      <c r="E41" s="7"/>
      <c r="F41" s="7"/>
      <c r="G41" s="7"/>
      <c r="H41" s="7"/>
      <c r="I41" s="7"/>
      <c r="J41" s="7"/>
      <c r="K41" s="7"/>
      <c r="L41" s="7"/>
      <c r="M41" s="7"/>
    </row>
    <row r="42" spans="5:13" ht="15.5" x14ac:dyDescent="0.35">
      <c r="E42" s="7"/>
      <c r="F42" s="7"/>
      <c r="G42" s="7"/>
      <c r="H42" s="7"/>
      <c r="I42" s="7"/>
      <c r="J42" s="7"/>
      <c r="K42" s="7"/>
      <c r="L42" s="7"/>
      <c r="M42" s="7"/>
    </row>
  </sheetData>
  <mergeCells count="38">
    <mergeCell ref="E35:M36"/>
    <mergeCell ref="E37:M38"/>
    <mergeCell ref="E39:M40"/>
    <mergeCell ref="F16:H16"/>
    <mergeCell ref="F17:H17"/>
    <mergeCell ref="F18:H18"/>
    <mergeCell ref="F19:H19"/>
    <mergeCell ref="F25:L25"/>
    <mergeCell ref="F27:M27"/>
    <mergeCell ref="F28:H28"/>
    <mergeCell ref="F29:H29"/>
    <mergeCell ref="F30:H30"/>
    <mergeCell ref="E32:M34"/>
    <mergeCell ref="F24:L24"/>
    <mergeCell ref="F15:H15"/>
    <mergeCell ref="F20:H20"/>
    <mergeCell ref="F21:H21"/>
    <mergeCell ref="F22:L22"/>
    <mergeCell ref="F23:L23"/>
    <mergeCell ref="F14:H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H12"/>
    <mergeCell ref="F13:H13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6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A60D-F2BE-48BB-8343-ABA8BB32E5C9}">
  <sheetPr>
    <pageSetUpPr fitToPage="1"/>
  </sheetPr>
  <dimension ref="B2:M35"/>
  <sheetViews>
    <sheetView topLeftCell="A16" workbookViewId="0">
      <selection activeCell="E2" sqref="E2:M31"/>
    </sheetView>
  </sheetViews>
  <sheetFormatPr defaultColWidth="8.6328125" defaultRowHeight="14" x14ac:dyDescent="0.3"/>
  <cols>
    <col min="1" max="1" width="8.6328125" style="1"/>
    <col min="2" max="2" width="11.36328125" style="1" bestFit="1" customWidth="1"/>
    <col min="3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3.7265625" style="1" customWidth="1"/>
    <col min="14" max="16384" width="8.6328125" style="1"/>
  </cols>
  <sheetData>
    <row r="2" spans="2:13" ht="17.5" x14ac:dyDescent="0.35">
      <c r="E2" s="21" t="s">
        <v>0</v>
      </c>
      <c r="F2" s="21"/>
      <c r="G2" s="21"/>
      <c r="H2" s="21"/>
      <c r="I2" s="21"/>
      <c r="J2" s="21"/>
      <c r="K2" s="21"/>
      <c r="L2" s="21"/>
      <c r="M2" s="21"/>
    </row>
    <row r="3" spans="2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2:13" ht="15.5" x14ac:dyDescent="0.35">
      <c r="E4" s="22" t="s">
        <v>16</v>
      </c>
      <c r="F4" s="22"/>
      <c r="G4" s="23" t="s">
        <v>24</v>
      </c>
      <c r="H4" s="23"/>
      <c r="I4" s="23"/>
      <c r="J4" s="23"/>
      <c r="K4" s="24" t="s">
        <v>19</v>
      </c>
      <c r="L4" s="24"/>
      <c r="M4" s="7">
        <v>2</v>
      </c>
    </row>
    <row r="5" spans="2:13" ht="18.899999999999999" customHeight="1" x14ac:dyDescent="0.3">
      <c r="E5" s="25" t="s">
        <v>1</v>
      </c>
      <c r="F5" s="25"/>
      <c r="G5" s="26" t="s">
        <v>25</v>
      </c>
      <c r="H5" s="26"/>
      <c r="I5" s="26"/>
      <c r="J5" s="26"/>
      <c r="K5" s="26"/>
      <c r="L5" s="26"/>
      <c r="M5" s="26"/>
    </row>
    <row r="6" spans="2:13" ht="30.9" customHeight="1" x14ac:dyDescent="0.35">
      <c r="E6" s="27" t="s">
        <v>29</v>
      </c>
      <c r="F6" s="27"/>
      <c r="G6" s="27"/>
      <c r="H6" s="27"/>
      <c r="I6" s="27"/>
      <c r="J6" s="27"/>
      <c r="K6" s="8" t="s">
        <v>2</v>
      </c>
      <c r="L6" s="28">
        <v>45809</v>
      </c>
      <c r="M6" s="29"/>
    </row>
    <row r="7" spans="2:13" ht="20.149999999999999" customHeight="1" x14ac:dyDescent="0.3">
      <c r="E7" s="30" t="s">
        <v>3</v>
      </c>
      <c r="F7" s="30"/>
      <c r="G7" s="31" t="s">
        <v>26</v>
      </c>
      <c r="H7" s="31"/>
      <c r="I7" s="31"/>
      <c r="J7" s="31"/>
      <c r="K7" s="14" t="s">
        <v>17</v>
      </c>
      <c r="L7" s="28">
        <v>45809</v>
      </c>
      <c r="M7" s="29"/>
    </row>
    <row r="8" spans="2:13" ht="18.899999999999999" customHeight="1" x14ac:dyDescent="0.3">
      <c r="E8" s="25" t="s">
        <v>5</v>
      </c>
      <c r="F8" s="25"/>
      <c r="G8" s="26" t="s">
        <v>27</v>
      </c>
      <c r="H8" s="26"/>
      <c r="I8" s="26"/>
      <c r="J8" s="26"/>
      <c r="K8" s="26"/>
      <c r="L8" s="26"/>
      <c r="M8" s="26"/>
    </row>
    <row r="9" spans="2:13" ht="20.399999999999999" customHeight="1" x14ac:dyDescent="0.3">
      <c r="E9" s="25" t="s">
        <v>4</v>
      </c>
      <c r="F9" s="25"/>
      <c r="G9" s="25"/>
      <c r="H9" s="25"/>
      <c r="I9" s="25"/>
      <c r="J9" s="25"/>
      <c r="K9" s="25"/>
      <c r="L9" s="25"/>
      <c r="M9" s="25"/>
    </row>
    <row r="10" spans="2:13" ht="30" x14ac:dyDescent="0.3">
      <c r="E10" s="2" t="s">
        <v>12</v>
      </c>
      <c r="F10" s="32" t="s">
        <v>6</v>
      </c>
      <c r="G10" s="32"/>
      <c r="H10" s="32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2:13" ht="15.5" x14ac:dyDescent="0.3">
      <c r="E11" s="4">
        <v>1</v>
      </c>
      <c r="F11" s="31" t="s">
        <v>83</v>
      </c>
      <c r="G11" s="31"/>
      <c r="H11" s="31"/>
      <c r="I11" s="5">
        <v>1</v>
      </c>
      <c r="J11" s="12">
        <v>87640</v>
      </c>
      <c r="K11" s="17" t="s">
        <v>28</v>
      </c>
      <c r="L11" s="4">
        <v>1.25</v>
      </c>
      <c r="M11" s="9">
        <f>L11*J11*I11</f>
        <v>109550</v>
      </c>
    </row>
    <row r="12" spans="2:13" ht="15.5" x14ac:dyDescent="0.3">
      <c r="E12" s="4">
        <v>2</v>
      </c>
      <c r="F12" s="31" t="s">
        <v>82</v>
      </c>
      <c r="G12" s="31"/>
      <c r="H12" s="31"/>
      <c r="I12" s="5">
        <v>1</v>
      </c>
      <c r="J12" s="12">
        <v>72030</v>
      </c>
      <c r="K12" s="17" t="s">
        <v>28</v>
      </c>
      <c r="L12" s="4">
        <v>1</v>
      </c>
      <c r="M12" s="9">
        <f>L12*J12*I12</f>
        <v>72030</v>
      </c>
    </row>
    <row r="13" spans="2:13" ht="15.5" x14ac:dyDescent="0.3">
      <c r="E13" s="4">
        <v>3</v>
      </c>
      <c r="F13" s="31" t="s">
        <v>84</v>
      </c>
      <c r="G13" s="31"/>
      <c r="H13" s="31"/>
      <c r="I13" s="5">
        <v>1</v>
      </c>
      <c r="J13" s="12">
        <v>85484</v>
      </c>
      <c r="K13" s="17" t="s">
        <v>28</v>
      </c>
      <c r="L13" s="4">
        <v>1.25</v>
      </c>
      <c r="M13" s="9">
        <f t="shared" ref="M13:M14" si="0">L13*J13*I13</f>
        <v>106855</v>
      </c>
    </row>
    <row r="14" spans="2:13" ht="15.5" x14ac:dyDescent="0.3">
      <c r="E14" s="4">
        <v>4</v>
      </c>
      <c r="F14" s="31" t="s">
        <v>85</v>
      </c>
      <c r="G14" s="31"/>
      <c r="H14" s="31"/>
      <c r="I14" s="5">
        <v>1</v>
      </c>
      <c r="J14" s="12">
        <v>118465.16</v>
      </c>
      <c r="K14" s="17" t="s">
        <v>28</v>
      </c>
      <c r="L14" s="4">
        <v>1.5</v>
      </c>
      <c r="M14" s="9">
        <f t="shared" si="0"/>
        <v>177697.74</v>
      </c>
    </row>
    <row r="15" spans="2:13" ht="17.399999999999999" customHeight="1" x14ac:dyDescent="0.35">
      <c r="E15" s="16"/>
      <c r="F15" s="33" t="s">
        <v>18</v>
      </c>
      <c r="G15" s="33"/>
      <c r="H15" s="33"/>
      <c r="I15" s="33"/>
      <c r="J15" s="33"/>
      <c r="K15" s="33"/>
      <c r="L15" s="33"/>
      <c r="M15" s="10">
        <f>SUM(M11:M14)</f>
        <v>466132.74</v>
      </c>
    </row>
    <row r="16" spans="2:13" ht="17.399999999999999" customHeight="1" x14ac:dyDescent="0.35">
      <c r="B16" s="19"/>
      <c r="E16" s="16"/>
      <c r="F16" s="34" t="s">
        <v>20</v>
      </c>
      <c r="G16" s="34"/>
      <c r="H16" s="34"/>
      <c r="I16" s="34"/>
      <c r="J16" s="34"/>
      <c r="K16" s="34"/>
      <c r="L16" s="34"/>
      <c r="M16" s="6">
        <f>M15*9%</f>
        <v>41951.946599999996</v>
      </c>
    </row>
    <row r="17" spans="2:13" ht="17.399999999999999" customHeight="1" x14ac:dyDescent="0.35">
      <c r="B17" s="18"/>
      <c r="E17" s="16"/>
      <c r="F17" s="34" t="s">
        <v>21</v>
      </c>
      <c r="G17" s="34"/>
      <c r="H17" s="34"/>
      <c r="I17" s="34"/>
      <c r="J17" s="34"/>
      <c r="K17" s="34"/>
      <c r="L17" s="34"/>
      <c r="M17" s="6">
        <f>M15*9%</f>
        <v>41951.946599999996</v>
      </c>
    </row>
    <row r="18" spans="2:13" ht="17.399999999999999" customHeight="1" x14ac:dyDescent="0.35">
      <c r="B18" s="19"/>
      <c r="E18" s="16"/>
      <c r="F18" s="34" t="s">
        <v>23</v>
      </c>
      <c r="G18" s="34"/>
      <c r="H18" s="34"/>
      <c r="I18" s="34"/>
      <c r="J18" s="34"/>
      <c r="K18" s="34"/>
      <c r="L18" s="34"/>
      <c r="M18" s="10"/>
    </row>
    <row r="19" spans="2:13" ht="17.399999999999999" customHeight="1" x14ac:dyDescent="0.35">
      <c r="E19" s="16"/>
      <c r="F19" s="13"/>
      <c r="G19" s="13"/>
      <c r="H19" s="13"/>
      <c r="I19" s="13"/>
      <c r="J19" s="13"/>
      <c r="K19" s="13"/>
      <c r="L19" s="13"/>
      <c r="M19" s="10">
        <f>M15+M16+M17</f>
        <v>550036.63320000004</v>
      </c>
    </row>
    <row r="20" spans="2:13" ht="15.5" x14ac:dyDescent="0.35">
      <c r="E20" s="7"/>
      <c r="F20" s="35" t="s">
        <v>86</v>
      </c>
      <c r="G20" s="35"/>
      <c r="H20" s="35"/>
      <c r="I20" s="35"/>
      <c r="J20" s="35"/>
      <c r="K20" s="35"/>
      <c r="L20" s="35"/>
      <c r="M20" s="35"/>
    </row>
    <row r="21" spans="2:13" ht="15.5" x14ac:dyDescent="0.35">
      <c r="E21" s="16"/>
      <c r="F21" s="23" t="s">
        <v>13</v>
      </c>
      <c r="G21" s="23"/>
      <c r="H21" s="23"/>
      <c r="I21" s="7"/>
      <c r="J21" s="7"/>
      <c r="K21" s="7"/>
      <c r="L21" s="7"/>
      <c r="M21" s="11"/>
    </row>
    <row r="22" spans="2:13" ht="15.5" x14ac:dyDescent="0.35">
      <c r="E22" s="16"/>
      <c r="F22" s="23" t="s">
        <v>22</v>
      </c>
      <c r="G22" s="23"/>
      <c r="H22" s="23"/>
      <c r="I22" s="7"/>
      <c r="J22" s="7"/>
      <c r="K22" s="7"/>
      <c r="L22" s="7"/>
      <c r="M22" s="11">
        <v>0</v>
      </c>
    </row>
    <row r="23" spans="2:13" ht="15.5" x14ac:dyDescent="0.35">
      <c r="E23" s="16"/>
      <c r="F23" s="23" t="s">
        <v>14</v>
      </c>
      <c r="G23" s="23"/>
      <c r="H23" s="23"/>
      <c r="I23" s="7"/>
      <c r="J23" s="7"/>
      <c r="K23" s="7"/>
      <c r="L23" s="7"/>
      <c r="M23" s="20">
        <f>M19-M21-M22</f>
        <v>550036.63320000004</v>
      </c>
    </row>
    <row r="24" spans="2:13" ht="15.5" x14ac:dyDescent="0.35">
      <c r="E24" s="7"/>
      <c r="F24" s="7"/>
      <c r="G24" s="7"/>
      <c r="H24" s="7"/>
      <c r="I24" s="7"/>
      <c r="J24" s="7"/>
      <c r="K24" s="7"/>
      <c r="L24" s="7"/>
      <c r="M24" s="7"/>
    </row>
    <row r="25" spans="2:13" x14ac:dyDescent="0.3">
      <c r="E25" s="26"/>
      <c r="F25" s="26"/>
      <c r="G25" s="26"/>
      <c r="H25" s="26"/>
      <c r="I25" s="26"/>
      <c r="J25" s="26"/>
      <c r="K25" s="26"/>
      <c r="L25" s="26"/>
      <c r="M25" s="26"/>
    </row>
    <row r="26" spans="2:13" x14ac:dyDescent="0.3">
      <c r="E26" s="26"/>
      <c r="F26" s="26"/>
      <c r="G26" s="26"/>
      <c r="H26" s="26"/>
      <c r="I26" s="26"/>
      <c r="J26" s="26"/>
      <c r="K26" s="26"/>
      <c r="L26" s="26"/>
      <c r="M26" s="26"/>
    </row>
    <row r="27" spans="2:13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2:13" x14ac:dyDescent="0.3">
      <c r="E28" s="25" t="s">
        <v>15</v>
      </c>
      <c r="F28" s="25"/>
      <c r="G28" s="25"/>
      <c r="H28" s="25"/>
      <c r="I28" s="25"/>
      <c r="J28" s="25"/>
      <c r="K28" s="25"/>
      <c r="L28" s="25"/>
      <c r="M28" s="25"/>
    </row>
    <row r="29" spans="2:13" x14ac:dyDescent="0.3">
      <c r="E29" s="25"/>
      <c r="F29" s="25"/>
      <c r="G29" s="25"/>
      <c r="H29" s="25"/>
      <c r="I29" s="25"/>
      <c r="J29" s="25"/>
      <c r="K29" s="25"/>
      <c r="L29" s="25"/>
      <c r="M29" s="25"/>
    </row>
    <row r="30" spans="2:13" x14ac:dyDescent="0.3">
      <c r="E30" s="25"/>
      <c r="F30" s="25"/>
      <c r="G30" s="25"/>
      <c r="H30" s="25"/>
      <c r="I30" s="25"/>
      <c r="J30" s="25"/>
      <c r="K30" s="25"/>
      <c r="L30" s="25"/>
      <c r="M30" s="25"/>
    </row>
    <row r="31" spans="2:13" x14ac:dyDescent="0.3">
      <c r="E31" s="25"/>
      <c r="F31" s="25"/>
      <c r="G31" s="25"/>
      <c r="H31" s="25"/>
      <c r="I31" s="25"/>
      <c r="J31" s="25"/>
      <c r="K31" s="25"/>
      <c r="L31" s="25"/>
      <c r="M31" s="25"/>
    </row>
    <row r="32" spans="2:13" x14ac:dyDescent="0.3">
      <c r="E32" s="25"/>
      <c r="F32" s="25"/>
      <c r="G32" s="25"/>
      <c r="H32" s="25"/>
      <c r="I32" s="25"/>
      <c r="J32" s="25"/>
      <c r="K32" s="25"/>
      <c r="L32" s="25"/>
      <c r="M32" s="25"/>
    </row>
    <row r="33" spans="5:13" x14ac:dyDescent="0.3">
      <c r="E33" s="25"/>
      <c r="F33" s="25"/>
      <c r="G33" s="25"/>
      <c r="H33" s="25"/>
      <c r="I33" s="25"/>
      <c r="J33" s="25"/>
      <c r="K33" s="25"/>
      <c r="L33" s="25"/>
      <c r="M33" s="25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  <row r="35" spans="5:13" ht="15.5" x14ac:dyDescent="0.35">
      <c r="E35" s="7"/>
      <c r="F35" s="7"/>
      <c r="G35" s="7"/>
      <c r="H35" s="7"/>
      <c r="I35" s="7"/>
      <c r="J35" s="7"/>
      <c r="K35" s="7"/>
      <c r="L35" s="7"/>
      <c r="M35" s="7"/>
    </row>
  </sheetData>
  <mergeCells count="31"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F14:H14"/>
    <mergeCell ref="E9:M9"/>
    <mergeCell ref="F10:H10"/>
    <mergeCell ref="F11:H11"/>
    <mergeCell ref="F12:H12"/>
    <mergeCell ref="F13:H13"/>
    <mergeCell ref="F15:L15"/>
    <mergeCell ref="F16:L16"/>
    <mergeCell ref="F17:L17"/>
    <mergeCell ref="F18:L18"/>
    <mergeCell ref="F20:M20"/>
    <mergeCell ref="E32:M33"/>
    <mergeCell ref="F21:H21"/>
    <mergeCell ref="F22:H22"/>
    <mergeCell ref="F23:H23"/>
    <mergeCell ref="E25:M27"/>
    <mergeCell ref="E28:M29"/>
    <mergeCell ref="E30:M31"/>
  </mergeCells>
  <pageMargins left="0.7" right="0.7" top="0.75" bottom="0.75" header="0.3" footer="0.3"/>
  <pageSetup paperSize="9" scale="56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Bill-1</vt:lpstr>
      <vt:lpstr>Bill-2</vt:lpstr>
      <vt:lpstr>Bill-3</vt:lpstr>
      <vt:lpstr>Bill-4</vt:lpstr>
      <vt:lpstr>Bill-5</vt:lpstr>
      <vt:lpstr>Bill-6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2025-05-22T09:52:50Z</cp:lastPrinted>
  <dcterms:created xsi:type="dcterms:W3CDTF">2017-06-28T08:31:23Z</dcterms:created>
  <dcterms:modified xsi:type="dcterms:W3CDTF">2025-11-14T12:13:33Z</dcterms:modified>
</cp:coreProperties>
</file>