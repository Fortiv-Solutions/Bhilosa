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YAM\New Data 30-12-22\Work O\Amaya\"/>
    </mc:Choice>
  </mc:AlternateContent>
  <xr:revisionPtr revIDLastSave="0" documentId="13_ncr:1_{045B804E-9413-4569-AC01-09B152DE3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umb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O6" i="2" l="1"/>
  <c r="N6" i="2"/>
  <c r="L6" i="2"/>
  <c r="G13" i="1"/>
  <c r="O7" i="2"/>
  <c r="N7" i="2"/>
  <c r="L10" i="2"/>
  <c r="L9" i="2"/>
  <c r="L8" i="2"/>
  <c r="L7" i="2"/>
  <c r="G12" i="1"/>
  <c r="G14" i="1" l="1"/>
</calcChain>
</file>

<file path=xl/sharedStrings.xml><?xml version="1.0" encoding="utf-8"?>
<sst xmlns="http://schemas.openxmlformats.org/spreadsheetml/2006/main" count="73" uniqueCount="60">
  <si>
    <t>Email: contact@pramukh.co.in, Website: www.pramukh.co.in</t>
  </si>
  <si>
    <t>WORK ORDER</t>
  </si>
  <si>
    <t>Work Description</t>
  </si>
  <si>
    <t>Amount ( In Rs.)</t>
  </si>
  <si>
    <t>Total</t>
  </si>
  <si>
    <t>Grand Total</t>
  </si>
  <si>
    <t>*</t>
  </si>
  <si>
    <t>Terms &amp; Conditions:</t>
  </si>
  <si>
    <t>Sr.
No.</t>
  </si>
  <si>
    <t>Rate
(Rs.)</t>
  </si>
  <si>
    <t>Payment Condition - Payment will be done in 15days after receipt of RA bill. RA shall be raised only for activity which is 100% Complete</t>
  </si>
  <si>
    <t>All work shall be done as per Standard Quality. If quality is found unsatisfactory, client reserves the right to give Debit for the same</t>
  </si>
  <si>
    <t>All Work shall be done within agreed timeline, incase of delay, debit of 500/- Rs per day shall be charged</t>
  </si>
  <si>
    <t>GST 18%</t>
  </si>
  <si>
    <t>Tax as applicable</t>
  </si>
  <si>
    <t>Retention @ 5% will be kept in all RA bills</t>
  </si>
  <si>
    <t>All CP &amp; Sanitary Fitting to be done at same level in all Toilets as specified in the drawings</t>
  </si>
  <si>
    <t xml:space="preserve">All Core Cut Finishing to be done by Plumbing Agency. </t>
  </si>
  <si>
    <t>All Bill Shall be approved by Site Engineer before submission to account dept.</t>
  </si>
  <si>
    <r>
      <rPr>
        <b/>
        <u/>
        <sz val="11"/>
        <color theme="1"/>
        <rFont val="Times New Roman"/>
        <family val="1"/>
      </rPr>
      <t>Payment Stages</t>
    </r>
    <r>
      <rPr>
        <u/>
        <sz val="11"/>
        <color theme="1"/>
        <rFont val="Times New Roman"/>
        <family val="1"/>
      </rPr>
      <t xml:space="preserve"> -</t>
    </r>
    <r>
      <rPr>
        <sz val="11"/>
        <color theme="1"/>
        <rFont val="Times New Roman"/>
        <family val="1"/>
      </rPr>
      <t xml:space="preserve"> 
Inlet Fitting Work - 20%
Internal Drainage Line Work - 10% 
Water Proofing Work - 25%
External Vertical Line Work - 20%
Terrace Looping Work - 10%
CP Fitting Work - 7.5%
Sanitary Fitting Work - 7.5%  </t>
    </r>
  </si>
  <si>
    <t>It will be agency's responsibility to clean entire floor everyday once the work is completed</t>
  </si>
  <si>
    <t>Subject - Plumbing Labour Work For Tower A, B and C Towers</t>
  </si>
  <si>
    <t>Unit
(Flats)</t>
  </si>
  <si>
    <t>All work shall be done in Proper Line, Slope &amp; Levels.</t>
  </si>
  <si>
    <t>Amaya Corporation</t>
  </si>
  <si>
    <t>10th Floor, 1001, Pramukh Orbit -2, Vesu Canal Road, Vesu, Surat</t>
  </si>
  <si>
    <r>
      <t>Project Name - Pramukh Amaya, Surat
Billing Address: 1001, Orbit-2, Vesu Canal Road, Vesu, Surat</t>
    </r>
    <r>
      <rPr>
        <sz val="11"/>
        <color theme="1"/>
        <rFont val="Times New Roman"/>
        <family val="1"/>
      </rPr>
      <t xml:space="preserve">  
</t>
    </r>
    <r>
      <rPr>
        <b/>
        <sz val="11"/>
        <color indexed="8"/>
        <rFont val="Times New Roman"/>
        <family val="1"/>
      </rPr>
      <t>Contact Person: Mr. Bhavin - 8401469609</t>
    </r>
  </si>
  <si>
    <t>GST No - 24ABZFA6800G1ZB</t>
  </si>
  <si>
    <t>A-B</t>
  </si>
  <si>
    <t>C-D</t>
  </si>
  <si>
    <t>E-F</t>
  </si>
  <si>
    <t>G</t>
  </si>
  <si>
    <t>H</t>
  </si>
  <si>
    <t xml:space="preserve">I </t>
  </si>
  <si>
    <t xml:space="preserve">J </t>
  </si>
  <si>
    <t xml:space="preserve">K </t>
  </si>
  <si>
    <t xml:space="preserve">L </t>
  </si>
  <si>
    <t>M</t>
  </si>
  <si>
    <t>N</t>
  </si>
  <si>
    <t xml:space="preserve">O </t>
  </si>
  <si>
    <t>P</t>
  </si>
  <si>
    <t>Deepak</t>
  </si>
  <si>
    <t>Salaudin</t>
  </si>
  <si>
    <t>Naishad</t>
  </si>
  <si>
    <t>Akrajul</t>
  </si>
  <si>
    <t>A-B, I, J, K, L</t>
  </si>
  <si>
    <t>E-F, G, O, P</t>
  </si>
  <si>
    <t>C-D, M</t>
  </si>
  <si>
    <t>H, N</t>
  </si>
  <si>
    <t>3 BHK</t>
  </si>
  <si>
    <t>2 BHK</t>
  </si>
  <si>
    <t>Amount in Words</t>
  </si>
  <si>
    <t>For, Amaya Developers</t>
  </si>
  <si>
    <t>Quotation No.- 1,  Dated - 7th Aug 2024</t>
  </si>
  <si>
    <t>W.O. No.: AC/WO/24/03</t>
  </si>
  <si>
    <r>
      <rPr>
        <b/>
        <sz val="11"/>
        <color theme="1"/>
        <rFont val="Times New Roman"/>
        <family val="1"/>
      </rPr>
      <t>Total Plumbing Work</t>
    </r>
    <r>
      <rPr>
        <sz val="11"/>
        <color theme="1"/>
        <rFont val="Times New Roman"/>
        <family val="1"/>
      </rPr>
      <t xml:space="preserve"> - Inlet Fitting, Internal Drainage Line, External Vertical Line upto First Basement Slab, Terrace Looping, Balcony Drain Line, AC Drain Line,  UGT to OHWT Connection, C.P &amp; Sanitary Fitting, Sunk Water Proofing (Toilet, Wash and Balcony Area) - 2 BHK Flats (</t>
    </r>
    <r>
      <rPr>
        <b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 xml:space="preserve"> Tower)</t>
    </r>
  </si>
  <si>
    <t xml:space="preserve">Agency Name -S.K. Salauddin Plumber
Person Name - Salaudin
Address: At Priyanka City, Parvat Gam, Kumbhariya Gam, Surat- 395009
Phone Num - 9825573268
 </t>
  </si>
  <si>
    <t>S.K. Salauddin</t>
  </si>
  <si>
    <r>
      <rPr>
        <b/>
        <sz val="11"/>
        <color theme="1"/>
        <rFont val="Times New Roman"/>
        <family val="1"/>
      </rPr>
      <t>Total Plumbing Work</t>
    </r>
    <r>
      <rPr>
        <sz val="11"/>
        <color theme="1"/>
        <rFont val="Times New Roman"/>
        <family val="1"/>
      </rPr>
      <t xml:space="preserve"> - Inlet Fitting, Internal Drainage Line, External Vertical Line upto First Basement Slab, Terrace Looping, Balcony Drain Line, AC Drain Line,  UGT to OHWT Connection, C.P &amp; Sanitary Fitting, Sunk Water Proofing (Toilet, Wash and Balcony Area) - 3 BHK Flats (</t>
    </r>
    <r>
      <rPr>
        <b/>
        <sz val="11"/>
        <color theme="1"/>
        <rFont val="Times New Roman"/>
        <family val="1"/>
      </rPr>
      <t>C-D, G</t>
    </r>
    <r>
      <rPr>
        <sz val="11"/>
        <color theme="1"/>
        <rFont val="Times New Roman"/>
        <family val="1"/>
      </rPr>
      <t xml:space="preserve"> Tower)</t>
    </r>
  </si>
  <si>
    <t>Forty Six Lakhs Fifty Thousand Rupees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</si>
</sst>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[$-F800]dddd\,\ mmmm\ dd\,\ yyyy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color theme="3" tint="-0.249977111117893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28"/>
      <color theme="3" tint="-0.249977111117893"/>
      <name val="Times New Roman"/>
      <family val="1"/>
    </font>
    <font>
      <u/>
      <sz val="12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43" fontId="6" fillId="0" borderId="2" xfId="0" applyNumberFormat="1" applyFont="1" applyBorder="1" applyAlignment="1">
      <alignment vertical="center"/>
    </xf>
    <xf numFmtId="43" fontId="6" fillId="0" borderId="35" xfId="0" applyNumberFormat="1" applyFont="1" applyBorder="1" applyAlignment="1">
      <alignment vertical="center"/>
    </xf>
    <xf numFmtId="0" fontId="2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166" fontId="2" fillId="0" borderId="29" xfId="2" applyNumberFormat="1" applyFont="1" applyBorder="1" applyAlignment="1">
      <alignment horizontal="center" vertical="center"/>
    </xf>
    <xf numFmtId="43" fontId="2" fillId="0" borderId="31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166" fontId="2" fillId="0" borderId="27" xfId="2" applyNumberFormat="1" applyFont="1" applyBorder="1" applyAlignment="1">
      <alignment horizontal="center" vertical="center"/>
    </xf>
    <xf numFmtId="43" fontId="2" fillId="0" borderId="28" xfId="0" applyNumberFormat="1" applyFont="1" applyBorder="1" applyAlignment="1">
      <alignment horizontal="center" vertical="center"/>
    </xf>
    <xf numFmtId="0" fontId="2" fillId="0" borderId="6" xfId="0" applyFont="1" applyBorder="1"/>
    <xf numFmtId="0" fontId="6" fillId="0" borderId="0" xfId="0" applyFont="1" applyAlignment="1">
      <alignment horizontal="center" vertical="center" wrapText="1"/>
    </xf>
    <xf numFmtId="43" fontId="6" fillId="0" borderId="24" xfId="0" applyNumberFormat="1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43" fontId="6" fillId="0" borderId="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43" fontId="6" fillId="0" borderId="4" xfId="0" applyNumberFormat="1" applyFont="1" applyBorder="1" applyAlignment="1">
      <alignment horizontal="right"/>
    </xf>
    <xf numFmtId="43" fontId="6" fillId="0" borderId="17" xfId="0" applyNumberFormat="1" applyFont="1" applyBorder="1" applyAlignment="1">
      <alignment horizontal="right"/>
    </xf>
    <xf numFmtId="43" fontId="6" fillId="0" borderId="18" xfId="0" applyNumberFormat="1" applyFont="1" applyBorder="1" applyAlignment="1">
      <alignment horizontal="right"/>
    </xf>
    <xf numFmtId="0" fontId="10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43" fontId="2" fillId="0" borderId="20" xfId="0" applyNumberFormat="1" applyFont="1" applyBorder="1"/>
    <xf numFmtId="0" fontId="2" fillId="0" borderId="21" xfId="0" applyFont="1" applyBorder="1"/>
    <xf numFmtId="165" fontId="4" fillId="0" borderId="4" xfId="0" applyNumberFormat="1" applyFont="1" applyBorder="1" applyAlignment="1">
      <alignment horizontal="left" vertical="center"/>
    </xf>
    <xf numFmtId="165" fontId="4" fillId="0" borderId="18" xfId="0" applyNumberFormat="1" applyFont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6" fillId="0" borderId="20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482599</xdr:colOff>
      <xdr:row>2</xdr:row>
      <xdr:rowOff>171450</xdr:rowOff>
    </xdr:from>
    <xdr:to>
      <xdr:col>6</xdr:col>
      <xdr:colOff>1934954</xdr:colOff>
      <xdr:row>4</xdr:row>
      <xdr:rowOff>185668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49" y="533400"/>
          <a:ext cx="145235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3"/>
  <sheetViews>
    <sheetView tabSelected="1" topLeftCell="B1" zoomScale="52" zoomScaleNormal="115" workbookViewId="0">
      <selection activeCell="I11" sqref="I11"/>
    </sheetView>
  </sheetViews>
  <sheetFormatPr defaultColWidth="8.81640625" defaultRowHeight="14" x14ac:dyDescent="0.3"/>
  <cols>
    <col min="1" max="1" width="2.453125" style="1" hidden="1" customWidth="1"/>
    <col min="2" max="2" width="4.7265625" style="1" customWidth="1"/>
    <col min="3" max="3" width="5" style="1" customWidth="1"/>
    <col min="4" max="4" width="58.453125" style="1" customWidth="1"/>
    <col min="5" max="5" width="7.54296875" style="1" customWidth="1"/>
    <col min="6" max="6" width="10.90625" style="1" customWidth="1"/>
    <col min="7" max="7" width="37.08984375" style="1" customWidth="1"/>
    <col min="8" max="16384" width="8.81640625" style="1"/>
  </cols>
  <sheetData>
    <row r="2" spans="3:7" ht="14.5" thickBot="1" x14ac:dyDescent="0.35"/>
    <row r="3" spans="3:7" ht="34.5" x14ac:dyDescent="0.3">
      <c r="C3" s="38" t="s">
        <v>24</v>
      </c>
      <c r="D3" s="39"/>
      <c r="E3" s="39"/>
      <c r="F3" s="40"/>
      <c r="G3" s="47"/>
    </row>
    <row r="4" spans="3:7" ht="31.5" customHeight="1" x14ac:dyDescent="0.3">
      <c r="C4" s="41" t="s">
        <v>25</v>
      </c>
      <c r="D4" s="42"/>
      <c r="E4" s="42"/>
      <c r="F4" s="43"/>
      <c r="G4" s="48"/>
    </row>
    <row r="5" spans="3:7" ht="31.5" customHeight="1" thickBot="1" x14ac:dyDescent="0.35">
      <c r="C5" s="44" t="s">
        <v>0</v>
      </c>
      <c r="D5" s="45"/>
      <c r="E5" s="45"/>
      <c r="F5" s="46"/>
      <c r="G5" s="49"/>
    </row>
    <row r="6" spans="3:7" ht="18" thickBot="1" x14ac:dyDescent="0.4">
      <c r="C6" s="63" t="s">
        <v>1</v>
      </c>
      <c r="D6" s="64"/>
      <c r="E6" s="64"/>
      <c r="F6" s="64"/>
      <c r="G6" s="65"/>
    </row>
    <row r="7" spans="3:7" ht="87" customHeight="1" thickBot="1" x14ac:dyDescent="0.35">
      <c r="C7" s="58" t="s">
        <v>56</v>
      </c>
      <c r="D7" s="59"/>
      <c r="E7" s="59"/>
      <c r="F7" s="60" t="s">
        <v>26</v>
      </c>
      <c r="G7" s="61"/>
    </row>
    <row r="8" spans="3:7" ht="19.5" customHeight="1" thickBot="1" x14ac:dyDescent="0.35">
      <c r="C8" s="66" t="s">
        <v>53</v>
      </c>
      <c r="D8" s="67"/>
      <c r="E8" s="67"/>
      <c r="F8" s="53" t="s">
        <v>27</v>
      </c>
      <c r="G8" s="54"/>
    </row>
    <row r="9" spans="3:7" ht="15.5" thickBot="1" x14ac:dyDescent="0.35">
      <c r="C9" s="68" t="s">
        <v>54</v>
      </c>
      <c r="D9" s="69"/>
      <c r="E9" s="69"/>
      <c r="F9" s="53">
        <v>45604</v>
      </c>
      <c r="G9" s="54"/>
    </row>
    <row r="10" spans="3:7" ht="15.5" thickBot="1" x14ac:dyDescent="0.35">
      <c r="C10" s="55" t="s">
        <v>21</v>
      </c>
      <c r="D10" s="56"/>
      <c r="E10" s="56"/>
      <c r="F10" s="56"/>
      <c r="G10" s="57"/>
    </row>
    <row r="11" spans="3:7" ht="28.5" thickBot="1" x14ac:dyDescent="0.35">
      <c r="C11" s="8" t="s">
        <v>8</v>
      </c>
      <c r="D11" s="2" t="s">
        <v>2</v>
      </c>
      <c r="E11" s="3" t="s">
        <v>22</v>
      </c>
      <c r="F11" s="9" t="s">
        <v>9</v>
      </c>
      <c r="G11" s="4" t="s">
        <v>3</v>
      </c>
    </row>
    <row r="12" spans="3:7" ht="73.75" customHeight="1" x14ac:dyDescent="0.3">
      <c r="C12" s="12">
        <v>1</v>
      </c>
      <c r="D12" s="18" t="s">
        <v>58</v>
      </c>
      <c r="E12" s="19">
        <f>48+52</f>
        <v>100</v>
      </c>
      <c r="F12" s="20">
        <v>33500</v>
      </c>
      <c r="G12" s="21">
        <f>E12*F12</f>
        <v>3350000</v>
      </c>
    </row>
    <row r="13" spans="3:7" ht="75.650000000000006" customHeight="1" thickBot="1" x14ac:dyDescent="0.35">
      <c r="C13" s="10">
        <v>2</v>
      </c>
      <c r="D13" s="15" t="s">
        <v>55</v>
      </c>
      <c r="E13" s="22">
        <v>52</v>
      </c>
      <c r="F13" s="23">
        <v>25000</v>
      </c>
      <c r="G13" s="24">
        <f>E13*F13</f>
        <v>1300000</v>
      </c>
    </row>
    <row r="14" spans="3:7" x14ac:dyDescent="0.3">
      <c r="C14" s="6"/>
      <c r="D14" s="62" t="s">
        <v>4</v>
      </c>
      <c r="E14" s="62"/>
      <c r="F14" s="16"/>
      <c r="G14" s="17">
        <f>SUM(G12:G13)</f>
        <v>4650000</v>
      </c>
    </row>
    <row r="15" spans="3:7" ht="14.5" thickBot="1" x14ac:dyDescent="0.35">
      <c r="C15" s="6"/>
      <c r="D15" s="50" t="s">
        <v>13</v>
      </c>
      <c r="E15" s="50"/>
      <c r="F15" s="51">
        <v>0</v>
      </c>
      <c r="G15" s="52"/>
    </row>
    <row r="16" spans="3:7" ht="14.5" thickBot="1" x14ac:dyDescent="0.35">
      <c r="C16" s="7"/>
      <c r="D16" s="27" t="s">
        <v>5</v>
      </c>
      <c r="E16" s="28"/>
      <c r="F16" s="29"/>
      <c r="G16" s="30"/>
    </row>
    <row r="17" spans="3:7" ht="15" customHeight="1" thickBot="1" x14ac:dyDescent="0.35">
      <c r="C17" s="25"/>
      <c r="D17" s="35" t="s">
        <v>51</v>
      </c>
      <c r="E17" s="36"/>
      <c r="F17" s="35" t="s">
        <v>59</v>
      </c>
      <c r="G17" s="37"/>
    </row>
    <row r="18" spans="3:7" ht="18" thickBot="1" x14ac:dyDescent="0.35">
      <c r="C18" s="11" t="s">
        <v>6</v>
      </c>
      <c r="D18" s="82" t="s">
        <v>7</v>
      </c>
      <c r="E18" s="83"/>
      <c r="F18" s="83"/>
      <c r="G18" s="84"/>
    </row>
    <row r="19" spans="3:7" x14ac:dyDescent="0.3">
      <c r="C19" s="12">
        <v>1</v>
      </c>
      <c r="D19" s="33" t="s">
        <v>14</v>
      </c>
      <c r="E19" s="33"/>
      <c r="F19" s="33"/>
      <c r="G19" s="34"/>
    </row>
    <row r="20" spans="3:7" ht="15" customHeight="1" x14ac:dyDescent="0.3">
      <c r="C20" s="5">
        <v>2</v>
      </c>
      <c r="D20" s="31" t="s">
        <v>10</v>
      </c>
      <c r="E20" s="31"/>
      <c r="F20" s="31"/>
      <c r="G20" s="32"/>
    </row>
    <row r="21" spans="3:7" ht="120" customHeight="1" x14ac:dyDescent="0.3">
      <c r="C21" s="5">
        <v>3</v>
      </c>
      <c r="D21" s="31" t="s">
        <v>19</v>
      </c>
      <c r="E21" s="31"/>
      <c r="F21" s="31"/>
      <c r="G21" s="32"/>
    </row>
    <row r="22" spans="3:7" x14ac:dyDescent="0.3">
      <c r="C22" s="5">
        <v>4</v>
      </c>
      <c r="D22" s="31" t="s">
        <v>18</v>
      </c>
      <c r="E22" s="31"/>
      <c r="F22" s="31"/>
      <c r="G22" s="32"/>
    </row>
    <row r="23" spans="3:7" x14ac:dyDescent="0.3">
      <c r="C23" s="5">
        <v>5</v>
      </c>
      <c r="D23" s="31" t="s">
        <v>11</v>
      </c>
      <c r="E23" s="31"/>
      <c r="F23" s="31"/>
      <c r="G23" s="32"/>
    </row>
    <row r="24" spans="3:7" x14ac:dyDescent="0.3">
      <c r="C24" s="5">
        <v>6</v>
      </c>
      <c r="D24" s="31" t="s">
        <v>23</v>
      </c>
      <c r="E24" s="31"/>
      <c r="F24" s="31"/>
      <c r="G24" s="32"/>
    </row>
    <row r="25" spans="3:7" x14ac:dyDescent="0.3">
      <c r="C25" s="5">
        <v>7</v>
      </c>
      <c r="D25" s="31" t="s">
        <v>16</v>
      </c>
      <c r="E25" s="31"/>
      <c r="F25" s="31"/>
      <c r="G25" s="32"/>
    </row>
    <row r="26" spans="3:7" x14ac:dyDescent="0.3">
      <c r="C26" s="5">
        <v>8</v>
      </c>
      <c r="D26" s="95" t="s">
        <v>17</v>
      </c>
      <c r="E26" s="96"/>
      <c r="F26" s="96"/>
      <c r="G26" s="97"/>
    </row>
    <row r="27" spans="3:7" ht="14" customHeight="1" x14ac:dyDescent="0.3">
      <c r="C27" s="5">
        <v>9</v>
      </c>
      <c r="D27" s="31" t="s">
        <v>12</v>
      </c>
      <c r="E27" s="31"/>
      <c r="F27" s="31"/>
      <c r="G27" s="32"/>
    </row>
    <row r="28" spans="3:7" ht="15" customHeight="1" x14ac:dyDescent="0.3">
      <c r="C28" s="5">
        <v>10</v>
      </c>
      <c r="D28" s="98" t="s">
        <v>20</v>
      </c>
      <c r="E28" s="99"/>
      <c r="F28" s="99"/>
      <c r="G28" s="100"/>
    </row>
    <row r="29" spans="3:7" ht="14.5" thickBot="1" x14ac:dyDescent="0.35">
      <c r="C29" s="5">
        <v>11</v>
      </c>
      <c r="D29" s="93" t="s">
        <v>15</v>
      </c>
      <c r="E29" s="93"/>
      <c r="F29" s="93"/>
      <c r="G29" s="94"/>
    </row>
    <row r="30" spans="3:7" x14ac:dyDescent="0.3">
      <c r="C30" s="85" t="s">
        <v>52</v>
      </c>
      <c r="D30" s="86"/>
      <c r="E30" s="89" t="s">
        <v>57</v>
      </c>
      <c r="F30" s="89"/>
      <c r="G30" s="90"/>
    </row>
    <row r="31" spans="3:7" ht="14.5" thickBot="1" x14ac:dyDescent="0.35">
      <c r="C31" s="87"/>
      <c r="D31" s="88"/>
      <c r="E31" s="91"/>
      <c r="F31" s="91"/>
      <c r="G31" s="92"/>
    </row>
    <row r="32" spans="3:7" x14ac:dyDescent="0.3">
      <c r="C32" s="70"/>
      <c r="D32" s="71"/>
      <c r="E32" s="76"/>
      <c r="F32" s="76"/>
      <c r="G32" s="77"/>
    </row>
    <row r="33" spans="3:7" x14ac:dyDescent="0.3">
      <c r="C33" s="72"/>
      <c r="D33" s="73"/>
      <c r="E33" s="78"/>
      <c r="F33" s="78"/>
      <c r="G33" s="79"/>
    </row>
    <row r="34" spans="3:7" x14ac:dyDescent="0.3">
      <c r="C34" s="72"/>
      <c r="D34" s="73"/>
      <c r="E34" s="78"/>
      <c r="F34" s="78"/>
      <c r="G34" s="79"/>
    </row>
    <row r="35" spans="3:7" ht="14.5" thickBot="1" x14ac:dyDescent="0.35">
      <c r="C35" s="74"/>
      <c r="D35" s="75"/>
      <c r="E35" s="80"/>
      <c r="F35" s="80"/>
      <c r="G35" s="81"/>
    </row>
    <row r="36" spans="3:7" x14ac:dyDescent="0.3">
      <c r="C36" s="13"/>
      <c r="D36" s="13"/>
      <c r="E36" s="14"/>
      <c r="F36" s="14"/>
      <c r="G36" s="14"/>
    </row>
    <row r="37" spans="3:7" x14ac:dyDescent="0.3">
      <c r="C37" s="13"/>
      <c r="D37" s="13"/>
      <c r="E37" s="14"/>
      <c r="F37" s="14"/>
      <c r="G37" s="14"/>
    </row>
    <row r="38" spans="3:7" x14ac:dyDescent="0.3">
      <c r="C38" s="13"/>
      <c r="D38" s="13"/>
      <c r="E38" s="14"/>
      <c r="F38" s="14"/>
      <c r="G38" s="14"/>
    </row>
    <row r="39" spans="3:7" x14ac:dyDescent="0.3">
      <c r="C39" s="13"/>
      <c r="D39" s="13"/>
      <c r="E39" s="14"/>
      <c r="F39" s="14"/>
      <c r="G39" s="14"/>
    </row>
    <row r="40" spans="3:7" x14ac:dyDescent="0.3">
      <c r="C40" s="13"/>
      <c r="D40" s="13"/>
      <c r="E40" s="14"/>
      <c r="F40" s="14"/>
      <c r="G40" s="26"/>
    </row>
    <row r="41" spans="3:7" x14ac:dyDescent="0.3">
      <c r="C41" s="13"/>
      <c r="D41" s="13"/>
      <c r="E41" s="14"/>
      <c r="F41" s="14"/>
      <c r="G41" s="14"/>
    </row>
    <row r="42" spans="3:7" x14ac:dyDescent="0.3">
      <c r="C42" s="13"/>
      <c r="D42" s="13"/>
      <c r="E42" s="14"/>
      <c r="F42" s="14"/>
      <c r="G42" s="14"/>
    </row>
    <row r="43" spans="3:7" x14ac:dyDescent="0.3">
      <c r="C43" s="13"/>
      <c r="D43" s="13"/>
      <c r="E43" s="14"/>
      <c r="F43" s="14"/>
      <c r="G43" s="14"/>
    </row>
  </sheetData>
  <mergeCells count="35">
    <mergeCell ref="C32:D35"/>
    <mergeCell ref="E32:G35"/>
    <mergeCell ref="D24:G24"/>
    <mergeCell ref="D18:G18"/>
    <mergeCell ref="D21:G21"/>
    <mergeCell ref="D25:G25"/>
    <mergeCell ref="C30:D31"/>
    <mergeCell ref="E30:G31"/>
    <mergeCell ref="D23:G23"/>
    <mergeCell ref="D27:G27"/>
    <mergeCell ref="D29:G29"/>
    <mergeCell ref="D26:G26"/>
    <mergeCell ref="D28:G28"/>
    <mergeCell ref="C3:F3"/>
    <mergeCell ref="C4:F4"/>
    <mergeCell ref="C5:F5"/>
    <mergeCell ref="G3:G5"/>
    <mergeCell ref="D15:E15"/>
    <mergeCell ref="F15:G15"/>
    <mergeCell ref="F9:G9"/>
    <mergeCell ref="C10:G10"/>
    <mergeCell ref="C7:E7"/>
    <mergeCell ref="F7:G7"/>
    <mergeCell ref="D14:E14"/>
    <mergeCell ref="C6:G6"/>
    <mergeCell ref="C8:E8"/>
    <mergeCell ref="F8:G8"/>
    <mergeCell ref="C9:E9"/>
    <mergeCell ref="D16:E16"/>
    <mergeCell ref="F16:G16"/>
    <mergeCell ref="D20:G20"/>
    <mergeCell ref="D19:G19"/>
    <mergeCell ref="D22:G22"/>
    <mergeCell ref="D17:E17"/>
    <mergeCell ref="F17:G17"/>
  </mergeCells>
  <pageMargins left="0.55000000000000004" right="0.7" top="0.75" bottom="0.59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6825-1C0D-48A4-8FDF-EA16D20703C8}">
  <dimension ref="F5:O18"/>
  <sheetViews>
    <sheetView topLeftCell="A3" zoomScale="140" workbookViewId="0">
      <selection activeCell="N7" sqref="N7"/>
    </sheetView>
  </sheetViews>
  <sheetFormatPr defaultRowHeight="14.5" x14ac:dyDescent="0.35"/>
  <cols>
    <col min="8" max="8" width="10.6328125" customWidth="1"/>
    <col min="13" max="13" width="10.81640625" bestFit="1" customWidth="1"/>
  </cols>
  <sheetData>
    <row r="5" spans="6:15" x14ac:dyDescent="0.35">
      <c r="N5" t="s">
        <v>49</v>
      </c>
      <c r="O5" t="s">
        <v>50</v>
      </c>
    </row>
    <row r="6" spans="6:15" x14ac:dyDescent="0.35">
      <c r="F6">
        <v>3</v>
      </c>
      <c r="G6" t="s">
        <v>28</v>
      </c>
      <c r="H6" t="s">
        <v>41</v>
      </c>
      <c r="I6">
        <v>48</v>
      </c>
      <c r="K6" t="s">
        <v>42</v>
      </c>
      <c r="L6">
        <f>I7+I15</f>
        <v>100</v>
      </c>
      <c r="M6" t="s">
        <v>47</v>
      </c>
      <c r="N6">
        <f>I7</f>
        <v>48</v>
      </c>
      <c r="O6">
        <f>I15</f>
        <v>52</v>
      </c>
    </row>
    <row r="7" spans="6:15" x14ac:dyDescent="0.35">
      <c r="F7">
        <v>3</v>
      </c>
      <c r="G7" t="s">
        <v>29</v>
      </c>
      <c r="H7" t="s">
        <v>42</v>
      </c>
      <c r="I7">
        <v>48</v>
      </c>
      <c r="K7" t="s">
        <v>41</v>
      </c>
      <c r="L7">
        <f>I6+I11+I12+I13+I14</f>
        <v>256</v>
      </c>
      <c r="M7" t="s">
        <v>45</v>
      </c>
      <c r="N7">
        <f>I6+I11+I12</f>
        <v>152</v>
      </c>
      <c r="O7">
        <f>I13+I14</f>
        <v>104</v>
      </c>
    </row>
    <row r="8" spans="6:15" x14ac:dyDescent="0.35">
      <c r="F8">
        <v>3</v>
      </c>
      <c r="G8" t="s">
        <v>30</v>
      </c>
      <c r="H8" t="s">
        <v>44</v>
      </c>
      <c r="I8">
        <v>48</v>
      </c>
      <c r="K8" t="s">
        <v>44</v>
      </c>
      <c r="L8">
        <f>I8+I9+I17+I18</f>
        <v>204</v>
      </c>
      <c r="M8" t="s">
        <v>46</v>
      </c>
    </row>
    <row r="9" spans="6:15" x14ac:dyDescent="0.35">
      <c r="F9">
        <v>3</v>
      </c>
      <c r="G9" t="s">
        <v>31</v>
      </c>
      <c r="H9" t="s">
        <v>44</v>
      </c>
      <c r="I9">
        <v>52</v>
      </c>
      <c r="K9" t="s">
        <v>43</v>
      </c>
      <c r="L9">
        <f>I10+I16</f>
        <v>104</v>
      </c>
      <c r="M9" t="s">
        <v>48</v>
      </c>
    </row>
    <row r="10" spans="6:15" x14ac:dyDescent="0.35">
      <c r="F10">
        <v>3</v>
      </c>
      <c r="G10" t="s">
        <v>32</v>
      </c>
      <c r="H10" t="s">
        <v>43</v>
      </c>
      <c r="I10">
        <v>52</v>
      </c>
      <c r="L10">
        <f>SUM(L6:L9)</f>
        <v>664</v>
      </c>
    </row>
    <row r="11" spans="6:15" x14ac:dyDescent="0.35">
      <c r="F11">
        <v>3</v>
      </c>
      <c r="G11" t="s">
        <v>33</v>
      </c>
      <c r="H11" t="s">
        <v>41</v>
      </c>
      <c r="I11">
        <v>52</v>
      </c>
    </row>
    <row r="12" spans="6:15" x14ac:dyDescent="0.35">
      <c r="F12">
        <v>3</v>
      </c>
      <c r="G12" t="s">
        <v>34</v>
      </c>
      <c r="H12" t="s">
        <v>41</v>
      </c>
      <c r="I12">
        <v>52</v>
      </c>
    </row>
    <row r="13" spans="6:15" x14ac:dyDescent="0.35">
      <c r="F13">
        <v>2</v>
      </c>
      <c r="G13" t="s">
        <v>35</v>
      </c>
      <c r="H13" t="s">
        <v>41</v>
      </c>
      <c r="I13">
        <v>52</v>
      </c>
    </row>
    <row r="14" spans="6:15" x14ac:dyDescent="0.35">
      <c r="F14">
        <v>2</v>
      </c>
      <c r="G14" t="s">
        <v>36</v>
      </c>
      <c r="H14" t="s">
        <v>41</v>
      </c>
      <c r="I14">
        <v>52</v>
      </c>
    </row>
    <row r="15" spans="6:15" x14ac:dyDescent="0.35">
      <c r="F15">
        <v>2</v>
      </c>
      <c r="G15" t="s">
        <v>37</v>
      </c>
      <c r="H15" t="s">
        <v>42</v>
      </c>
      <c r="I15">
        <v>52</v>
      </c>
    </row>
    <row r="16" spans="6:15" x14ac:dyDescent="0.35">
      <c r="F16">
        <v>2</v>
      </c>
      <c r="G16" t="s">
        <v>38</v>
      </c>
      <c r="H16" t="s">
        <v>43</v>
      </c>
      <c r="I16">
        <v>52</v>
      </c>
    </row>
    <row r="17" spans="6:9" x14ac:dyDescent="0.35">
      <c r="F17">
        <v>2</v>
      </c>
      <c r="G17" t="s">
        <v>39</v>
      </c>
      <c r="H17" t="s">
        <v>44</v>
      </c>
      <c r="I17">
        <v>52</v>
      </c>
    </row>
    <row r="18" spans="6:9" x14ac:dyDescent="0.35">
      <c r="F18">
        <v>2</v>
      </c>
      <c r="G18" t="s">
        <v>40</v>
      </c>
      <c r="H18" t="s">
        <v>44</v>
      </c>
      <c r="I1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Plumbing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Lenovo12</dc:creator>
  <cp:lastModifiedBy>Purchase (Pramukh Group - Surat)</cp:lastModifiedBy>
  <cp:lastPrinted>2025-04-12T05:23:48Z</cp:lastPrinted>
  <dcterms:created xsi:type="dcterms:W3CDTF">2017-08-03T12:33:29Z</dcterms:created>
  <dcterms:modified xsi:type="dcterms:W3CDTF">2025-04-12T05:24:07Z</dcterms:modified>
</cp:coreProperties>
</file>