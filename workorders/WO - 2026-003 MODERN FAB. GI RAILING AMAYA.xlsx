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D:\SHYAM\New Data 30-12-22\Work O\Amaya\"/>
    </mc:Choice>
  </mc:AlternateContent>
  <xr:revisionPtr revIDLastSave="0" documentId="13_ncr:1_{DA83043D-B2DE-449A-A366-3049DC5AD0D5}" xr6:coauthVersionLast="47" xr6:coauthVersionMax="47" xr10:uidLastSave="{00000000-0000-0000-0000-000000000000}"/>
  <bookViews>
    <workbookView xWindow="-110" yWindow="-110" windowWidth="19420" windowHeight="10300" xr2:uid="{00000000-000D-0000-FFFF-FFFF00000000}"/>
  </bookViews>
  <sheets>
    <sheet name="FINAL RAIN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8" i="1" s="1"/>
</calcChain>
</file>

<file path=xl/sharedStrings.xml><?xml version="1.0" encoding="utf-8"?>
<sst xmlns="http://schemas.openxmlformats.org/spreadsheetml/2006/main" count="58" uniqueCount="58">
  <si>
    <t>Email: contact@pramukh.co.in, Website: www.pramukh.co.in</t>
  </si>
  <si>
    <t>WORK ORDER</t>
  </si>
  <si>
    <t>Work Description</t>
  </si>
  <si>
    <t>Unit</t>
  </si>
  <si>
    <t>*</t>
  </si>
  <si>
    <t>Terms &amp; Conditions:</t>
  </si>
  <si>
    <t>Sr.
No.</t>
  </si>
  <si>
    <t>Light &amp; Water will be provided at Single Point on Ground Floor, Further distribution will be in agency's scope</t>
  </si>
  <si>
    <t>All Bill Shall be approved by Site Engineer before submission to account dept.</t>
  </si>
  <si>
    <t>On Site Measurement Will be taken for finalisation of the Quantity</t>
  </si>
  <si>
    <t>All work shall be done in proper Line, Level &amp; Surface should not have any undulation</t>
  </si>
  <si>
    <t>It will be agency's responsibility to clean entire floor/Surfaces everyday once the work is completed</t>
  </si>
  <si>
    <t>Application rate for any other material will be quoted separately.</t>
  </si>
  <si>
    <t>Three site Visit will be done by Company’s Technologist, periodically to help the client with providing optimum result.</t>
  </si>
  <si>
    <t>Water and Power Supply will be provided by Client free of cost on site.</t>
  </si>
  <si>
    <t>Any Surface measure in width/lengths/height below 0.5 foot will be considered as running foot and will be charged at half rate of actual finalized product application rate.</t>
  </si>
  <si>
    <t>Measurement will be done according to prevailing market practices and same will be accepted by both the parties.</t>
  </si>
  <si>
    <t>Material will be routed through Authorized Dealer of Material Supplier Co.</t>
  </si>
  <si>
    <t>All the application will be done at a time when scaffolding is arranged by contractor at construction site .</t>
  </si>
  <si>
    <t xml:space="preserve">Above Given Rate mentioned is for labour with material all inclusive.Tax will be additional as applicable </t>
  </si>
  <si>
    <t>Payment Condition - Payment will be done once in month on submission of RA bill. RA shall be raised only for activity which is 100% Complete</t>
  </si>
  <si>
    <r>
      <rPr>
        <b/>
        <sz val="12"/>
        <color theme="1"/>
        <rFont val="Times New Roman"/>
        <family val="1"/>
      </rPr>
      <t xml:space="preserve">Payment Stages - </t>
    </r>
    <r>
      <rPr>
        <sz val="12"/>
        <color theme="1"/>
        <rFont val="Times New Roman"/>
        <family val="1"/>
      </rPr>
      <t xml:space="preserve">
Payment Will be done as per Running Bill Submitted after work Completion
5% Will be kept as Retention and will be paid after 12 months of total work compltioned.</t>
    </r>
  </si>
  <si>
    <t>All work shall be done as per Standard Quality. If quality is found unsatisfactory, client reserves the right to give Debit for the same or same work is to be done without any additional cost.</t>
  </si>
  <si>
    <t>All of the above work will be completed as per the PIS (Product Information Sheet) for optimum result.</t>
  </si>
  <si>
    <t>Client will provide place for stocking of material and accommodation place will be provided ,arrangement of rooms to be done by contractor.</t>
  </si>
  <si>
    <t>Guarantee certificate to be provided by contractor on material provided companies latter head.</t>
  </si>
  <si>
    <t>10th Floor, Pramukh Orbit-2, Vesu Canal Road, Surat 395007</t>
  </si>
  <si>
    <t>Proper colouring on pipe and surface of duct to be done by contractor .</t>
  </si>
  <si>
    <t>Amount ( In Rs.)</t>
  </si>
  <si>
    <t>Rft</t>
  </si>
  <si>
    <t>Qty</t>
  </si>
  <si>
    <t>Rate</t>
  </si>
  <si>
    <t>Total in Words</t>
  </si>
  <si>
    <t>Total</t>
  </si>
  <si>
    <t xml:space="preserve">Post Pipe : 32 X 32 X 1.6mm
</t>
  </si>
  <si>
    <t>Fastener : Mungo/Fischer 10 X 120mm</t>
  </si>
  <si>
    <r>
      <rPr>
        <sz val="12"/>
        <color rgb="FF565656"/>
        <rFont val="Times New Roman"/>
        <family val="1"/>
      </rPr>
      <t xml:space="preserve">3 </t>
    </r>
    <r>
      <rPr>
        <sz val="12"/>
        <color rgb="FF444444"/>
        <rFont val="Times New Roman"/>
        <family val="1"/>
      </rPr>
      <t xml:space="preserve">warnings </t>
    </r>
    <r>
      <rPr>
        <sz val="12"/>
        <color rgb="FF505050"/>
        <rFont val="Times New Roman"/>
        <family val="1"/>
      </rPr>
      <t xml:space="preserve">to </t>
    </r>
    <r>
      <rPr>
        <sz val="12"/>
        <color rgb="FF3F3F3F"/>
        <rFont val="Times New Roman"/>
        <family val="1"/>
      </rPr>
      <t xml:space="preserve">be </t>
    </r>
    <r>
      <rPr>
        <sz val="12"/>
        <color rgb="FF424242"/>
        <rFont val="Times New Roman"/>
        <family val="1"/>
      </rPr>
      <t xml:space="preserve">given </t>
    </r>
    <r>
      <rPr>
        <sz val="12"/>
        <color rgb="FF3D3D3D"/>
        <rFont val="Times New Roman"/>
        <family val="1"/>
      </rPr>
      <t xml:space="preserve">regarding </t>
    </r>
    <r>
      <rPr>
        <sz val="12"/>
        <color rgb="FF424242"/>
        <rFont val="Times New Roman"/>
        <family val="1"/>
      </rPr>
      <t xml:space="preserve">safety </t>
    </r>
    <r>
      <rPr>
        <sz val="12"/>
        <color rgb="FF3F3F3F"/>
        <rFont val="Times New Roman"/>
        <family val="1"/>
      </rPr>
      <t xml:space="preserve">after </t>
    </r>
    <r>
      <rPr>
        <sz val="12"/>
        <color rgb="FF3B3B3B"/>
        <rFont val="Times New Roman"/>
        <family val="1"/>
      </rPr>
      <t xml:space="preserve">that </t>
    </r>
    <r>
      <rPr>
        <sz val="12"/>
        <color rgb="FF424242"/>
        <rFont val="Times New Roman"/>
        <family val="1"/>
      </rPr>
      <t xml:space="preserve">every </t>
    </r>
    <r>
      <rPr>
        <sz val="12"/>
        <color rgb="FF484848"/>
        <rFont val="Times New Roman"/>
        <family val="1"/>
      </rPr>
      <t xml:space="preserve">instant </t>
    </r>
    <r>
      <rPr>
        <sz val="12"/>
        <color rgb="FF4F4F4F"/>
        <rFont val="Times New Roman"/>
        <family val="1"/>
      </rPr>
      <t xml:space="preserve">2000 </t>
    </r>
    <r>
      <rPr>
        <sz val="12"/>
        <color rgb="FF494949"/>
        <rFont val="Times New Roman"/>
        <family val="1"/>
      </rPr>
      <t xml:space="preserve">Rs. </t>
    </r>
    <r>
      <rPr>
        <sz val="12"/>
        <color rgb="FF414141"/>
        <rFont val="Times New Roman"/>
        <family val="1"/>
      </rPr>
      <t xml:space="preserve">Debit </t>
    </r>
    <r>
      <rPr>
        <sz val="12"/>
        <color rgb="FF484848"/>
        <rFont val="Times New Roman"/>
        <family val="1"/>
      </rPr>
      <t xml:space="preserve">to </t>
    </r>
    <r>
      <rPr>
        <sz val="12"/>
        <color rgb="FF3B3B3B"/>
        <rFont val="Times New Roman"/>
        <family val="1"/>
      </rPr>
      <t xml:space="preserve">be </t>
    </r>
    <r>
      <rPr>
        <sz val="12"/>
        <color rgb="FF424242"/>
        <rFont val="Times New Roman"/>
        <family val="1"/>
      </rPr>
      <t>given.</t>
    </r>
  </si>
  <si>
    <r>
      <rPr>
        <sz val="12"/>
        <color rgb="FF4B4B4B"/>
        <rFont val="Times New Roman"/>
        <family val="1"/>
      </rPr>
      <t xml:space="preserve">Cost </t>
    </r>
    <r>
      <rPr>
        <sz val="12"/>
        <color rgb="FF444444"/>
        <rFont val="Times New Roman"/>
        <family val="1"/>
      </rPr>
      <t xml:space="preserve">of all </t>
    </r>
    <r>
      <rPr>
        <sz val="12"/>
        <color rgb="FF3F3F3F"/>
        <rFont val="Times New Roman"/>
        <family val="1"/>
      </rPr>
      <t xml:space="preserve">Material </t>
    </r>
    <r>
      <rPr>
        <sz val="12"/>
        <color rgb="FF494949"/>
        <rFont val="Times New Roman"/>
        <family val="1"/>
      </rPr>
      <t xml:space="preserve">Wastage </t>
    </r>
    <r>
      <rPr>
        <sz val="12"/>
        <color rgb="FF545454"/>
        <rFont val="Times New Roman"/>
        <family val="1"/>
      </rPr>
      <t xml:space="preserve">is </t>
    </r>
    <r>
      <rPr>
        <sz val="12"/>
        <color rgb="FF363636"/>
        <rFont val="Times New Roman"/>
        <family val="1"/>
      </rPr>
      <t xml:space="preserve">considered </t>
    </r>
    <r>
      <rPr>
        <sz val="12"/>
        <color rgb="FF383838"/>
        <rFont val="Times New Roman"/>
        <family val="1"/>
      </rPr>
      <t xml:space="preserve">in </t>
    </r>
    <r>
      <rPr>
        <sz val="12"/>
        <color rgb="FF414141"/>
        <rFont val="Times New Roman"/>
        <family val="1"/>
      </rPr>
      <t xml:space="preserve">the </t>
    </r>
    <r>
      <rPr>
        <sz val="12"/>
        <color rgb="FF3A3A3A"/>
        <rFont val="Times New Roman"/>
        <family val="1"/>
      </rPr>
      <t xml:space="preserve">given </t>
    </r>
    <r>
      <rPr>
        <sz val="12"/>
        <color rgb="FF424242"/>
        <rFont val="Times New Roman"/>
        <family val="1"/>
      </rPr>
      <t xml:space="preserve">rates, </t>
    </r>
    <r>
      <rPr>
        <sz val="12"/>
        <color rgb="FF494949"/>
        <rFont val="Times New Roman"/>
        <family val="1"/>
      </rPr>
      <t xml:space="preserve">No </t>
    </r>
    <r>
      <rPr>
        <sz val="12"/>
        <color rgb="FF424242"/>
        <rFont val="Times New Roman"/>
        <family val="1"/>
      </rPr>
      <t xml:space="preserve">additional Cost </t>
    </r>
    <r>
      <rPr>
        <sz val="12"/>
        <color rgb="FF464646"/>
        <rFont val="Times New Roman"/>
        <family val="1"/>
      </rPr>
      <t xml:space="preserve">of </t>
    </r>
    <r>
      <rPr>
        <sz val="12"/>
        <color rgb="FF444444"/>
        <rFont val="Times New Roman"/>
        <family val="1"/>
      </rPr>
      <t xml:space="preserve">Wastage </t>
    </r>
    <r>
      <rPr>
        <sz val="12"/>
        <color rgb="FF595959"/>
        <rFont val="Times New Roman"/>
        <family val="1"/>
      </rPr>
      <t xml:space="preserve">to </t>
    </r>
    <r>
      <rPr>
        <sz val="12"/>
        <color rgb="FF6E6E6E"/>
        <rFont val="Times New Roman"/>
        <family val="1"/>
      </rPr>
      <t xml:space="preserve">be </t>
    </r>
    <r>
      <rPr>
        <sz val="12"/>
        <color rgb="FF414141"/>
        <rFont val="Times New Roman"/>
        <family val="1"/>
      </rPr>
      <t>given</t>
    </r>
  </si>
  <si>
    <t>Bill to be paid only on 15th and 20th of every month and if bill to be submitted of previous month only, or it should be consider in next schedule.</t>
  </si>
  <si>
    <t>All Work comes under the BOCW Act,1996</t>
  </si>
  <si>
    <t xml:space="preserve">The PF Act shall be applicable to every person who has been employed by or by the Contractor or in any association with the work of the establishment. </t>
  </si>
  <si>
    <t xml:space="preserve">AMAYA CORPRATION </t>
  </si>
  <si>
    <r>
      <t xml:space="preserve">Project Name - Pramukh Amaya, Surat
Billing Address: </t>
    </r>
    <r>
      <rPr>
        <sz val="11"/>
        <color theme="1"/>
        <rFont val="Times New Roman"/>
        <family val="1"/>
      </rPr>
      <t xml:space="preserve">10th, Office No 1001, Orbit 2, Vesu Canal Road,Vesu, Surat, Gujarat, 395007
</t>
    </r>
    <r>
      <rPr>
        <b/>
        <sz val="11"/>
        <color indexed="8"/>
        <rFont val="Times New Roman"/>
        <family val="1"/>
      </rPr>
      <t>Contact Person: Mr. Bhavin Shah- 8401469609</t>
    </r>
  </si>
  <si>
    <t>GST No - 24ABZFA6800G1ZB</t>
  </si>
  <si>
    <t>W.O. No. : AC/WO/2026/003</t>
  </si>
  <si>
    <t>Horizontal Frame Pipe : 20 X 20 X 1.6mm</t>
  </si>
  <si>
    <t>Vertical Pipe : 20 X 20 X 1.6mm</t>
  </si>
  <si>
    <t>Top Pipe Bedroom : 40 X 40 X 1.6mm</t>
  </si>
  <si>
    <t xml:space="preserve">Providing and fixing of G.I. Railing as per Below specification with Powder coating, Railing Height - 3'6"
GI Pipe
</t>
  </si>
  <si>
    <t>Center to Center Gap of Verticle Pipe - 80mm</t>
  </si>
  <si>
    <t>For, AMAYA CORPRATION</t>
  </si>
  <si>
    <t>Delay in completion beyond the agreed schedule will attract a debit as decided by the client and adjusted against the final bill.</t>
  </si>
  <si>
    <t>Top Pipe Living : 40 X 80 X 1.6mm</t>
  </si>
  <si>
    <t>Agency Name - Modern Fabrications
Address: B No. 23, H No. 2 2197 98, Chandan Co OP Housing Society, Rudarpura,, Suart, Gujarat 395003                                                                                                  GST : 24FASPS4799R1Z3
Contact Details : +91 99135 96281</t>
  </si>
  <si>
    <t>Quotation No.- 03</t>
  </si>
  <si>
    <t>Subject - Railing work of Project Amaya</t>
  </si>
  <si>
    <t>Six Hundred Seventy Five Only</t>
  </si>
  <si>
    <t>For, MODERN FABRICATIONS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</si>
</sst>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 #,##0.00_ ;_ * \-#,##0.00_ ;_ * &quot;-&quot;??_ ;_ @_ "/>
    <numFmt numFmtId="165" formatCode="[$-F800]dddd\,\ mmmm\ dd\,\ yyyy"/>
    <numFmt numFmtId="166" formatCode="&quot;₹&quot;\ #,##0.00"/>
    <numFmt numFmtId="167" formatCode="_ [$₹-4009]\ * #,##0.00_ ;_ [$₹-4009]\ * \-#,##0.00_ ;_ [$₹-4009]\ * &quot;-&quot;??_ ;_ @_ "/>
  </numFmts>
  <fonts count="37" x14ac:knownFonts="1">
    <font>
      <sz val="11"/>
      <color theme="1"/>
      <name val="Calibri"/>
      <family val="2"/>
      <scheme val="minor"/>
    </font>
    <font>
      <sz val="11"/>
      <color theme="1"/>
      <name val="Calibri"/>
      <family val="2"/>
      <scheme val="minor"/>
    </font>
    <font>
      <sz val="11"/>
      <color theme="1"/>
      <name val="Times New Roman"/>
      <family val="1"/>
    </font>
    <font>
      <b/>
      <sz val="26"/>
      <color theme="3" tint="-0.249977111117893"/>
      <name val="Times New Roman"/>
      <family val="1"/>
    </font>
    <font>
      <b/>
      <sz val="12"/>
      <color theme="1"/>
      <name val="Times New Roman"/>
      <family val="1"/>
    </font>
    <font>
      <u/>
      <sz val="11"/>
      <color theme="4"/>
      <name val="Times New Roman"/>
      <family val="1"/>
    </font>
    <font>
      <b/>
      <sz val="14"/>
      <color theme="1"/>
      <name val="Times New Roman"/>
      <family val="1"/>
    </font>
    <font>
      <b/>
      <sz val="11"/>
      <color theme="1"/>
      <name val="Times New Roman"/>
      <family val="1"/>
    </font>
    <font>
      <b/>
      <sz val="11"/>
      <color indexed="8"/>
      <name val="Times New Roman"/>
      <family val="1"/>
    </font>
    <font>
      <b/>
      <u/>
      <sz val="11"/>
      <color theme="1"/>
      <name val="Times New Roman"/>
      <family val="1"/>
    </font>
    <font>
      <sz val="12"/>
      <color theme="1"/>
      <name val="Times New Roman"/>
      <family val="1"/>
    </font>
    <font>
      <b/>
      <sz val="11"/>
      <name val="Times New Roman"/>
      <family val="1"/>
    </font>
    <font>
      <sz val="11"/>
      <name val="Times New Roman"/>
      <family val="1"/>
    </font>
    <font>
      <sz val="11"/>
      <color rgb="FF000000"/>
      <name val="Times New Roman"/>
      <family val="2"/>
    </font>
    <font>
      <sz val="12"/>
      <color rgb="FF000000"/>
      <name val="Times New Roman"/>
      <family val="1"/>
    </font>
    <font>
      <sz val="12"/>
      <color rgb="FF565656"/>
      <name val="Times New Roman"/>
      <family val="1"/>
    </font>
    <font>
      <sz val="12"/>
      <color rgb="FF444444"/>
      <name val="Times New Roman"/>
      <family val="1"/>
    </font>
    <font>
      <sz val="12"/>
      <color rgb="FF505050"/>
      <name val="Times New Roman"/>
      <family val="1"/>
    </font>
    <font>
      <sz val="12"/>
      <color rgb="FF3F3F3F"/>
      <name val="Times New Roman"/>
      <family val="1"/>
    </font>
    <font>
      <sz val="12"/>
      <color rgb="FF424242"/>
      <name val="Times New Roman"/>
      <family val="1"/>
    </font>
    <font>
      <sz val="12"/>
      <color rgb="FF3D3D3D"/>
      <name val="Times New Roman"/>
      <family val="1"/>
    </font>
    <font>
      <sz val="12"/>
      <color rgb="FF3B3B3B"/>
      <name val="Times New Roman"/>
      <family val="1"/>
    </font>
    <font>
      <sz val="12"/>
      <color rgb="FF484848"/>
      <name val="Times New Roman"/>
      <family val="1"/>
    </font>
    <font>
      <sz val="12"/>
      <color rgb="FF4F4F4F"/>
      <name val="Times New Roman"/>
      <family val="1"/>
    </font>
    <font>
      <sz val="12"/>
      <color rgb="FF494949"/>
      <name val="Times New Roman"/>
      <family val="1"/>
    </font>
    <font>
      <sz val="12"/>
      <color rgb="FF414141"/>
      <name val="Times New Roman"/>
      <family val="1"/>
    </font>
    <font>
      <sz val="12"/>
      <color rgb="FF4B4B4B"/>
      <name val="Times New Roman"/>
      <family val="1"/>
    </font>
    <font>
      <sz val="12"/>
      <color rgb="FF545454"/>
      <name val="Times New Roman"/>
      <family val="1"/>
    </font>
    <font>
      <sz val="12"/>
      <color rgb="FF363636"/>
      <name val="Times New Roman"/>
      <family val="1"/>
    </font>
    <font>
      <sz val="12"/>
      <color rgb="FF383838"/>
      <name val="Times New Roman"/>
      <family val="1"/>
    </font>
    <font>
      <sz val="12"/>
      <color rgb="FF3A3A3A"/>
      <name val="Times New Roman"/>
      <family val="1"/>
    </font>
    <font>
      <sz val="12"/>
      <color rgb="FF464646"/>
      <name val="Times New Roman"/>
      <family val="1"/>
    </font>
    <font>
      <sz val="12"/>
      <color rgb="FF595959"/>
      <name val="Times New Roman"/>
      <family val="1"/>
    </font>
    <font>
      <sz val="12"/>
      <color rgb="FF6E6E6E"/>
      <name val="Times New Roman"/>
      <family val="1"/>
    </font>
    <font>
      <sz val="12"/>
      <name val="Times New Roman"/>
      <family val="1"/>
    </font>
    <font>
      <b/>
      <sz val="12"/>
      <name val="Times New Roman"/>
      <family val="1"/>
    </font>
    <font>
      <b/>
      <sz val="16"/>
      <color theme="1"/>
      <name val="Times New Roman"/>
      <family val="1"/>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47">
    <border>
      <left/>
      <right/>
      <top/>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top style="thin">
        <color rgb="FF000000"/>
      </top>
      <bottom/>
      <diagonal/>
    </border>
    <border>
      <left style="medium">
        <color indexed="64"/>
      </left>
      <right/>
      <top style="thin">
        <color rgb="FF000000"/>
      </top>
      <bottom style="thin">
        <color rgb="FF000000"/>
      </bottom>
      <diagonal/>
    </border>
    <border>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5">
    <xf numFmtId="0" fontId="0" fillId="0" borderId="0" xfId="0"/>
    <xf numFmtId="0" fontId="2" fillId="0" borderId="0" xfId="0" applyFont="1"/>
    <xf numFmtId="0" fontId="7" fillId="0" borderId="4" xfId="0" applyFont="1" applyBorder="1" applyAlignment="1">
      <alignment horizontal="center" vertical="center"/>
    </xf>
    <xf numFmtId="0" fontId="7" fillId="0" borderId="3" xfId="0" applyFont="1" applyBorder="1" applyAlignment="1">
      <alignment horizontal="center" vertical="center" wrapText="1"/>
    </xf>
    <xf numFmtId="0" fontId="6" fillId="0" borderId="3" xfId="0" applyFont="1" applyBorder="1" applyAlignment="1">
      <alignment horizontal="center" vertical="center"/>
    </xf>
    <xf numFmtId="0" fontId="2" fillId="0" borderId="18"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left" vertical="top"/>
    </xf>
    <xf numFmtId="0" fontId="0" fillId="0" borderId="31" xfId="0" applyBorder="1" applyAlignment="1">
      <alignment horizontal="left" wrapText="1"/>
    </xf>
    <xf numFmtId="0" fontId="12" fillId="0" borderId="33" xfId="0" applyFont="1" applyBorder="1" applyAlignment="1">
      <alignment horizontal="left" vertical="top" wrapText="1"/>
    </xf>
    <xf numFmtId="0" fontId="12" fillId="0" borderId="34" xfId="0" applyFont="1" applyBorder="1" applyAlignment="1">
      <alignment horizontal="left" vertical="top" wrapText="1"/>
    </xf>
    <xf numFmtId="0" fontId="7" fillId="0" borderId="35" xfId="0" applyFont="1" applyBorder="1" applyAlignment="1">
      <alignment horizontal="center" vertical="center"/>
    </xf>
    <xf numFmtId="0" fontId="7" fillId="0" borderId="35" xfId="0" applyFont="1" applyBorder="1" applyAlignment="1">
      <alignment horizontal="center" vertical="center" wrapText="1"/>
    </xf>
    <xf numFmtId="0" fontId="10" fillId="0" borderId="0" xfId="0" applyFont="1" applyAlignment="1">
      <alignment horizontal="left" vertical="center" wrapText="1"/>
    </xf>
    <xf numFmtId="0" fontId="4" fillId="2" borderId="11" xfId="0" applyFont="1" applyFill="1" applyBorder="1" applyAlignment="1">
      <alignment vertical="center"/>
    </xf>
    <xf numFmtId="0" fontId="4" fillId="2" borderId="12" xfId="0" applyFont="1" applyFill="1" applyBorder="1" applyAlignment="1">
      <alignment vertical="center"/>
    </xf>
    <xf numFmtId="0" fontId="4" fillId="2" borderId="16" xfId="0" applyFont="1" applyFill="1" applyBorder="1" applyAlignment="1">
      <alignment vertical="center"/>
    </xf>
    <xf numFmtId="0" fontId="4" fillId="2" borderId="13" xfId="0" applyFont="1" applyFill="1" applyBorder="1" applyAlignment="1">
      <alignment vertical="center"/>
    </xf>
    <xf numFmtId="0" fontId="10" fillId="0" borderId="0" xfId="0" applyFont="1"/>
    <xf numFmtId="0" fontId="12" fillId="0" borderId="35" xfId="0" applyFont="1" applyBorder="1" applyAlignment="1">
      <alignment vertical="top" wrapText="1"/>
    </xf>
    <xf numFmtId="0" fontId="11" fillId="0" borderId="39" xfId="0" applyFont="1" applyBorder="1" applyAlignment="1">
      <alignment horizontal="center" vertical="center" wrapText="1"/>
    </xf>
    <xf numFmtId="0" fontId="0" fillId="0" borderId="41" xfId="0" applyBorder="1" applyAlignment="1">
      <alignment horizontal="left" wrapText="1"/>
    </xf>
    <xf numFmtId="0" fontId="0" fillId="0" borderId="42" xfId="0" applyBorder="1" applyAlignment="1">
      <alignment horizontal="left" wrapText="1"/>
    </xf>
    <xf numFmtId="43" fontId="2" fillId="0" borderId="14" xfId="0" applyNumberFormat="1" applyFont="1" applyBorder="1" applyAlignment="1">
      <alignment horizontal="center" vertical="center" wrapText="1"/>
    </xf>
    <xf numFmtId="0" fontId="2" fillId="0" borderId="40" xfId="0"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166" fontId="2" fillId="0" borderId="2" xfId="2" applyNumberFormat="1"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7" xfId="0" applyFont="1" applyBorder="1" applyAlignment="1">
      <alignment horizontal="center" vertical="center" wrapText="1"/>
    </xf>
    <xf numFmtId="0" fontId="2" fillId="0" borderId="10" xfId="0" applyFont="1" applyBorder="1" applyAlignment="1">
      <alignment horizontal="center" vertical="center" wrapText="1"/>
    </xf>
    <xf numFmtId="0" fontId="10" fillId="0" borderId="2" xfId="0" applyFont="1" applyBorder="1" applyAlignment="1">
      <alignment horizontal="left" vertical="center" wrapText="1"/>
    </xf>
    <xf numFmtId="0" fontId="10" fillId="0" borderId="14" xfId="0" applyFont="1" applyBorder="1" applyAlignment="1">
      <alignment horizontal="left" vertical="center" wrapText="1"/>
    </xf>
    <xf numFmtId="0" fontId="9" fillId="0" borderId="19" xfId="0" applyFont="1" applyBorder="1" applyAlignment="1">
      <alignment horizontal="left" vertical="center"/>
    </xf>
    <xf numFmtId="0" fontId="9" fillId="0" borderId="16" xfId="0" applyFont="1" applyBorder="1" applyAlignment="1">
      <alignment horizontal="left" vertical="center"/>
    </xf>
    <xf numFmtId="0" fontId="9" fillId="0" borderId="0" xfId="0" applyFont="1" applyAlignment="1">
      <alignment horizontal="left" vertical="center"/>
    </xf>
    <xf numFmtId="0" fontId="9" fillId="0" borderId="8" xfId="0" applyFont="1" applyBorder="1" applyAlignment="1">
      <alignment horizontal="left" vertical="center"/>
    </xf>
    <xf numFmtId="0" fontId="36" fillId="0" borderId="7" xfId="0" applyFont="1" applyBorder="1" applyAlignment="1">
      <alignment horizontal="center" vertical="center"/>
    </xf>
    <xf numFmtId="0" fontId="36" fillId="0" borderId="8" xfId="0" applyFont="1" applyBorder="1" applyAlignment="1">
      <alignment horizontal="center" vertical="center"/>
    </xf>
    <xf numFmtId="0" fontId="36" fillId="0" borderId="9" xfId="0" applyFont="1" applyBorder="1" applyAlignment="1">
      <alignment horizontal="center" vertical="center"/>
    </xf>
    <xf numFmtId="0" fontId="36" fillId="0" borderId="10" xfId="0" applyFont="1" applyBorder="1" applyAlignment="1">
      <alignment horizontal="center" vertical="center"/>
    </xf>
    <xf numFmtId="0" fontId="36" fillId="0" borderId="0" xfId="0" applyFont="1" applyAlignment="1">
      <alignment horizontal="center" vertical="center" wrapText="1"/>
    </xf>
    <xf numFmtId="0" fontId="36" fillId="0" borderId="8" xfId="0" applyFont="1" applyBorder="1" applyAlignment="1">
      <alignment horizontal="center" vertical="center" wrapText="1"/>
    </xf>
    <xf numFmtId="0" fontId="36" fillId="0" borderId="17" xfId="0" applyFont="1" applyBorder="1" applyAlignment="1">
      <alignment horizontal="center" vertical="center" wrapText="1"/>
    </xf>
    <xf numFmtId="0" fontId="36" fillId="0" borderId="10" xfId="0" applyFont="1" applyBorder="1" applyAlignment="1">
      <alignment horizontal="center" vertical="center" wrapText="1"/>
    </xf>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0" fontId="10" fillId="0" borderId="22" xfId="0" applyFont="1" applyBorder="1" applyAlignment="1">
      <alignment horizontal="left" vertical="center" wrapText="1"/>
    </xf>
    <xf numFmtId="0" fontId="10" fillId="0" borderId="44" xfId="0" applyFont="1" applyBorder="1" applyAlignment="1">
      <alignment horizontal="left" vertical="center" wrapText="1"/>
    </xf>
    <xf numFmtId="0" fontId="10" fillId="0" borderId="45" xfId="0" applyFont="1" applyBorder="1" applyAlignment="1">
      <alignment horizontal="left" vertical="center" wrapText="1"/>
    </xf>
    <xf numFmtId="0" fontId="10" fillId="0" borderId="46" xfId="0" applyFont="1" applyBorder="1" applyAlignment="1">
      <alignment horizontal="left" vertical="center" wrapText="1"/>
    </xf>
    <xf numFmtId="0" fontId="3" fillId="0" borderId="5" xfId="0" applyFont="1" applyBorder="1" applyAlignment="1">
      <alignment horizontal="center"/>
    </xf>
    <xf numFmtId="0" fontId="3" fillId="0" borderId="16" xfId="0" applyFont="1" applyBorder="1" applyAlignment="1">
      <alignment horizontal="center"/>
    </xf>
    <xf numFmtId="0" fontId="3" fillId="0" borderId="6" xfId="0" applyFont="1" applyBorder="1" applyAlignment="1">
      <alignment horizontal="center"/>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5" fillId="0" borderId="9" xfId="0" applyFont="1" applyBorder="1" applyAlignment="1">
      <alignment horizontal="center" vertical="center"/>
    </xf>
    <xf numFmtId="0" fontId="5" fillId="0" borderId="17" xfId="0" applyFont="1" applyBorder="1" applyAlignment="1">
      <alignment horizontal="center" vertical="center"/>
    </xf>
    <xf numFmtId="0" fontId="5" fillId="0" borderId="10" xfId="0" applyFont="1" applyBorder="1" applyAlignment="1">
      <alignment horizontal="center" vertical="center"/>
    </xf>
    <xf numFmtId="0" fontId="3" fillId="0" borderId="8" xfId="0" applyFont="1" applyBorder="1" applyAlignment="1">
      <alignment horizontal="center"/>
    </xf>
    <xf numFmtId="0" fontId="3" fillId="0" borderId="10" xfId="0" applyFont="1" applyBorder="1" applyAlignment="1">
      <alignment horizontal="center"/>
    </xf>
    <xf numFmtId="165" fontId="7" fillId="0" borderId="1" xfId="0" applyNumberFormat="1" applyFont="1" applyBorder="1" applyAlignment="1">
      <alignment horizontal="left" vertical="center"/>
    </xf>
    <xf numFmtId="165" fontId="7" fillId="0" borderId="13" xfId="0" applyNumberFormat="1" applyFont="1" applyBorder="1" applyAlignment="1">
      <alignment horizontal="left" vertical="center"/>
    </xf>
    <xf numFmtId="0" fontId="35" fillId="0" borderId="38" xfId="0" applyFont="1" applyBorder="1" applyAlignment="1">
      <alignment horizontal="left" vertical="center" wrapText="1"/>
    </xf>
    <xf numFmtId="0" fontId="0" fillId="0" borderId="27" xfId="0" applyBorder="1" applyAlignment="1">
      <alignment horizontal="left" vertical="center" wrapText="1"/>
    </xf>
    <xf numFmtId="0" fontId="0" fillId="0" borderId="28" xfId="0" applyBorder="1" applyAlignment="1">
      <alignment horizontal="left" vertical="center" wrapText="1"/>
    </xf>
    <xf numFmtId="0" fontId="7" fillId="0" borderId="1" xfId="0" applyFont="1" applyBorder="1" applyAlignment="1">
      <alignment horizontal="justify" vertical="center" wrapText="1"/>
    </xf>
    <xf numFmtId="0" fontId="7" fillId="0" borderId="13" xfId="0" applyFont="1" applyBorder="1" applyAlignment="1">
      <alignment horizontal="justify"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7" fillId="0" borderId="15" xfId="0" applyFont="1" applyBorder="1" applyAlignment="1">
      <alignment horizontal="left" vertical="center"/>
    </xf>
    <xf numFmtId="0" fontId="12" fillId="0" borderId="29" xfId="0" applyFont="1" applyBorder="1" applyAlignment="1">
      <alignment horizontal="right" vertical="top" wrapText="1"/>
    </xf>
    <xf numFmtId="0" fontId="12" fillId="0" borderId="30" xfId="0" applyFont="1" applyBorder="1" applyAlignment="1">
      <alignment horizontal="right" vertical="top" wrapText="1"/>
    </xf>
    <xf numFmtId="167" fontId="13" fillId="0" borderId="32" xfId="0" applyNumberFormat="1" applyFont="1" applyBorder="1" applyAlignment="1">
      <alignment horizontal="right" vertical="center" shrinkToFit="1"/>
    </xf>
    <xf numFmtId="167" fontId="13" fillId="0" borderId="8" xfId="0" applyNumberFormat="1" applyFont="1" applyBorder="1" applyAlignment="1">
      <alignment horizontal="right" vertical="center" shrinkToFit="1"/>
    </xf>
    <xf numFmtId="0" fontId="11" fillId="0" borderId="26" xfId="0" applyFont="1" applyBorder="1" applyAlignment="1">
      <alignment horizontal="right" vertical="top" wrapText="1"/>
    </xf>
    <xf numFmtId="0" fontId="11" fillId="0" borderId="27" xfId="0" applyFont="1" applyBorder="1" applyAlignment="1">
      <alignment horizontal="right" vertical="top" wrapText="1"/>
    </xf>
    <xf numFmtId="0" fontId="11" fillId="0" borderId="2" xfId="0" applyFont="1" applyBorder="1" applyAlignment="1">
      <alignment horizontal="right" vertical="center" wrapText="1"/>
    </xf>
    <xf numFmtId="0" fontId="11" fillId="0" borderId="14" xfId="0" applyFont="1" applyBorder="1" applyAlignment="1">
      <alignment horizontal="righ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0" fillId="0" borderId="25" xfId="0" applyFont="1" applyBorder="1" applyAlignment="1">
      <alignment horizontal="left" vertical="center" wrapText="1"/>
    </xf>
    <xf numFmtId="0" fontId="10" fillId="3" borderId="20" xfId="0" applyFont="1" applyFill="1" applyBorder="1" applyAlignment="1">
      <alignment horizontal="left" vertical="center" wrapText="1"/>
    </xf>
    <xf numFmtId="0" fontId="10" fillId="3" borderId="21"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34" fillId="0" borderId="36" xfId="0" applyFont="1" applyBorder="1" applyAlignment="1">
      <alignment horizontal="left" vertical="center" wrapText="1"/>
    </xf>
    <xf numFmtId="0" fontId="34" fillId="0" borderId="37" xfId="0" applyFont="1" applyBorder="1" applyAlignment="1">
      <alignment horizontal="left" vertical="center" wrapText="1"/>
    </xf>
    <xf numFmtId="0" fontId="34" fillId="0" borderId="39" xfId="0" applyFont="1" applyBorder="1" applyAlignment="1">
      <alignment horizontal="left" vertical="center" wrapText="1"/>
    </xf>
    <xf numFmtId="0" fontId="34" fillId="0" borderId="20" xfId="0" applyFont="1" applyBorder="1" applyAlignment="1">
      <alignment horizontal="left" vertical="center" wrapText="1"/>
    </xf>
    <xf numFmtId="0" fontId="34" fillId="0" borderId="21" xfId="0" applyFont="1" applyBorder="1" applyAlignment="1">
      <alignment horizontal="left" vertical="center" wrapText="1"/>
    </xf>
    <xf numFmtId="0" fontId="34" fillId="0" borderId="22" xfId="0" applyFont="1" applyBorder="1" applyAlignment="1">
      <alignment horizontal="left"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43" xfId="0" applyFont="1" applyBorder="1" applyAlignment="1">
      <alignment horizontal="left" vertical="center" wrapText="1"/>
    </xf>
    <xf numFmtId="0" fontId="14" fillId="0" borderId="26" xfId="0" applyFont="1" applyBorder="1" applyAlignment="1">
      <alignment horizontal="left" vertical="center" wrapText="1"/>
    </xf>
    <xf numFmtId="0" fontId="19" fillId="0" borderId="26" xfId="0" applyFont="1" applyBorder="1" applyAlignment="1">
      <alignment horizontal="left" vertical="center" wrapText="1"/>
    </xf>
    <xf numFmtId="0" fontId="34" fillId="0" borderId="26" xfId="0" applyFont="1" applyBorder="1" applyAlignment="1">
      <alignment horizontal="left" vertical="center" wrapText="1"/>
    </xf>
    <xf numFmtId="0" fontId="34" fillId="0" borderId="27" xfId="0" applyFont="1" applyBorder="1" applyAlignment="1">
      <alignment horizontal="left" vertical="center" wrapText="1"/>
    </xf>
    <xf numFmtId="0" fontId="34" fillId="0" borderId="43" xfId="0" applyFont="1" applyBorder="1" applyAlignment="1">
      <alignment horizontal="left" vertical="center" wrapText="1"/>
    </xf>
  </cellXfs>
  <cellStyles count="3">
    <cellStyle name="Comma" xfId="2" builtinId="3"/>
    <cellStyle name="Comma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588582</xdr:colOff>
      <xdr:row>0</xdr:row>
      <xdr:rowOff>91936</xdr:rowOff>
    </xdr:from>
    <xdr:to>
      <xdr:col>5</xdr:col>
      <xdr:colOff>2132967</xdr:colOff>
      <xdr:row>2</xdr:row>
      <xdr:rowOff>124960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8522" y="91936"/>
          <a:ext cx="1544385" cy="1035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7"/>
  <sheetViews>
    <sheetView tabSelected="1" topLeftCell="A39" zoomScale="96" zoomScaleNormal="100" zoomScaleSheetLayoutView="83" workbookViewId="0">
      <selection activeCell="A42" sqref="A42:F45"/>
    </sheetView>
  </sheetViews>
  <sheetFormatPr defaultColWidth="8.7265625" defaultRowHeight="14" x14ac:dyDescent="0.3"/>
  <cols>
    <col min="1" max="1" width="5" style="1" customWidth="1"/>
    <col min="2" max="2" width="55.7265625" style="1" bestFit="1" customWidth="1"/>
    <col min="3" max="3" width="8.54296875" style="1" customWidth="1"/>
    <col min="4" max="5" width="9.81640625" style="1" customWidth="1"/>
    <col min="6" max="6" width="39" style="1" customWidth="1"/>
    <col min="7" max="16384" width="8.7265625" style="1"/>
  </cols>
  <sheetData>
    <row r="1" spans="1:8" ht="42" customHeight="1" x14ac:dyDescent="0.65">
      <c r="A1" s="53" t="s">
        <v>41</v>
      </c>
      <c r="B1" s="54"/>
      <c r="C1" s="54"/>
      <c r="D1" s="54"/>
      <c r="E1" s="55"/>
      <c r="F1" s="55"/>
    </row>
    <row r="2" spans="1:8" ht="37" customHeight="1" x14ac:dyDescent="0.3">
      <c r="A2" s="56" t="s">
        <v>26</v>
      </c>
      <c r="B2" s="57"/>
      <c r="C2" s="57"/>
      <c r="D2" s="57"/>
      <c r="E2" s="58"/>
      <c r="F2" s="62"/>
    </row>
    <row r="3" spans="1:8" ht="36.5" customHeight="1" thickBot="1" x14ac:dyDescent="0.35">
      <c r="A3" s="59" t="s">
        <v>0</v>
      </c>
      <c r="B3" s="60"/>
      <c r="C3" s="60"/>
      <c r="D3" s="60"/>
      <c r="E3" s="61"/>
      <c r="F3" s="63"/>
    </row>
    <row r="4" spans="1:8" ht="26.5" customHeight="1" thickBot="1" x14ac:dyDescent="0.35">
      <c r="A4" s="71" t="s">
        <v>1</v>
      </c>
      <c r="B4" s="72"/>
      <c r="C4" s="72"/>
      <c r="D4" s="72"/>
      <c r="E4" s="72"/>
      <c r="F4" s="73"/>
    </row>
    <row r="5" spans="1:8" ht="84" customHeight="1" thickBot="1" x14ac:dyDescent="0.4">
      <c r="A5" s="66" t="s">
        <v>53</v>
      </c>
      <c r="B5" s="67"/>
      <c r="C5" s="67"/>
      <c r="D5" s="68"/>
      <c r="E5" s="69" t="s">
        <v>42</v>
      </c>
      <c r="F5" s="70"/>
      <c r="H5" s="19"/>
    </row>
    <row r="6" spans="1:8" ht="26" customHeight="1" thickBot="1" x14ac:dyDescent="0.35">
      <c r="A6" s="74" t="s">
        <v>54</v>
      </c>
      <c r="B6" s="75"/>
      <c r="C6" s="75"/>
      <c r="D6" s="76"/>
      <c r="E6" s="64" t="s">
        <v>43</v>
      </c>
      <c r="F6" s="65"/>
    </row>
    <row r="7" spans="1:8" ht="26" customHeight="1" thickBot="1" x14ac:dyDescent="0.35">
      <c r="A7" s="74" t="s">
        <v>44</v>
      </c>
      <c r="B7" s="75"/>
      <c r="C7" s="75"/>
      <c r="D7" s="76"/>
      <c r="E7" s="64">
        <v>46050</v>
      </c>
      <c r="F7" s="65"/>
    </row>
    <row r="8" spans="1:8" ht="27.5" customHeight="1" thickBot="1" x14ac:dyDescent="0.35">
      <c r="A8" s="15" t="s">
        <v>55</v>
      </c>
      <c r="B8" s="16"/>
      <c r="C8" s="16"/>
      <c r="D8" s="17"/>
      <c r="E8" s="17"/>
      <c r="F8" s="18"/>
    </row>
    <row r="9" spans="1:8" ht="36" customHeight="1" x14ac:dyDescent="0.3">
      <c r="A9" s="3" t="s">
        <v>6</v>
      </c>
      <c r="B9" s="2" t="s">
        <v>2</v>
      </c>
      <c r="C9" s="2" t="s">
        <v>3</v>
      </c>
      <c r="D9" s="12" t="s">
        <v>30</v>
      </c>
      <c r="E9" s="13" t="s">
        <v>31</v>
      </c>
      <c r="F9" s="21" t="s">
        <v>28</v>
      </c>
    </row>
    <row r="10" spans="1:8" ht="49" customHeight="1" x14ac:dyDescent="0.3">
      <c r="A10" s="25">
        <v>1</v>
      </c>
      <c r="B10" s="20" t="s">
        <v>48</v>
      </c>
      <c r="C10" s="26" t="s">
        <v>29</v>
      </c>
      <c r="D10" s="27">
        <v>1</v>
      </c>
      <c r="E10" s="28">
        <v>675</v>
      </c>
      <c r="F10" s="24">
        <f>D10*E10</f>
        <v>675</v>
      </c>
    </row>
    <row r="11" spans="1:8" ht="22" customHeight="1" x14ac:dyDescent="0.3">
      <c r="A11" s="25"/>
      <c r="B11" s="10" t="s">
        <v>52</v>
      </c>
      <c r="C11" s="26"/>
      <c r="D11" s="27"/>
      <c r="E11" s="28"/>
      <c r="F11" s="24"/>
    </row>
    <row r="12" spans="1:8" ht="22" customHeight="1" x14ac:dyDescent="0.3">
      <c r="A12" s="25"/>
      <c r="B12" s="10" t="s">
        <v>47</v>
      </c>
      <c r="C12" s="26"/>
      <c r="D12" s="27"/>
      <c r="E12" s="28"/>
      <c r="F12" s="24"/>
    </row>
    <row r="13" spans="1:8" ht="22" customHeight="1" x14ac:dyDescent="0.3">
      <c r="A13" s="25"/>
      <c r="B13" s="10" t="s">
        <v>34</v>
      </c>
      <c r="C13" s="26"/>
      <c r="D13" s="27"/>
      <c r="E13" s="28"/>
      <c r="F13" s="24"/>
    </row>
    <row r="14" spans="1:8" ht="22" customHeight="1" x14ac:dyDescent="0.3">
      <c r="A14" s="25"/>
      <c r="B14" s="10" t="s">
        <v>45</v>
      </c>
      <c r="C14" s="26"/>
      <c r="D14" s="27"/>
      <c r="E14" s="28"/>
      <c r="F14" s="24"/>
    </row>
    <row r="15" spans="1:8" ht="22" customHeight="1" x14ac:dyDescent="0.3">
      <c r="A15" s="25"/>
      <c r="B15" s="10" t="s">
        <v>46</v>
      </c>
      <c r="C15" s="26"/>
      <c r="D15" s="27"/>
      <c r="E15" s="28"/>
      <c r="F15" s="24"/>
    </row>
    <row r="16" spans="1:8" ht="22" customHeight="1" x14ac:dyDescent="0.3">
      <c r="A16" s="25"/>
      <c r="B16" s="10" t="s">
        <v>49</v>
      </c>
      <c r="C16" s="26"/>
      <c r="D16" s="27"/>
      <c r="E16" s="28"/>
      <c r="F16" s="24"/>
    </row>
    <row r="17" spans="1:6" ht="22" customHeight="1" x14ac:dyDescent="0.3">
      <c r="A17" s="25"/>
      <c r="B17" s="11" t="s">
        <v>35</v>
      </c>
      <c r="C17" s="26"/>
      <c r="D17" s="27"/>
      <c r="E17" s="28"/>
      <c r="F17" s="24"/>
    </row>
    <row r="18" spans="1:6" s="8" customFormat="1" ht="28.5" customHeight="1" x14ac:dyDescent="0.35">
      <c r="A18" s="22"/>
      <c r="B18" s="77" t="s">
        <v>33</v>
      </c>
      <c r="C18" s="78"/>
      <c r="D18" s="9"/>
      <c r="E18" s="79">
        <f>F10</f>
        <v>675</v>
      </c>
      <c r="F18" s="80"/>
    </row>
    <row r="19" spans="1:6" s="8" customFormat="1" ht="29.5" customHeight="1" thickBot="1" x14ac:dyDescent="0.4">
      <c r="A19" s="23"/>
      <c r="B19" s="81" t="s">
        <v>32</v>
      </c>
      <c r="C19" s="82"/>
      <c r="D19" s="83" t="s">
        <v>56</v>
      </c>
      <c r="E19" s="83"/>
      <c r="F19" s="84"/>
    </row>
    <row r="20" spans="1:6" ht="26.5" customHeight="1" thickBot="1" x14ac:dyDescent="0.35">
      <c r="A20" s="4" t="s">
        <v>4</v>
      </c>
      <c r="B20" s="35" t="s">
        <v>5</v>
      </c>
      <c r="C20" s="36"/>
      <c r="D20" s="37"/>
      <c r="E20" s="37"/>
      <c r="F20" s="38"/>
    </row>
    <row r="21" spans="1:6" ht="23" customHeight="1" thickBot="1" x14ac:dyDescent="0.35">
      <c r="A21" s="5">
        <v>1</v>
      </c>
      <c r="B21" s="85" t="s">
        <v>19</v>
      </c>
      <c r="C21" s="86"/>
      <c r="D21" s="86"/>
      <c r="E21" s="86"/>
      <c r="F21" s="87"/>
    </row>
    <row r="22" spans="1:6" ht="33" customHeight="1" thickBot="1" x14ac:dyDescent="0.35">
      <c r="A22" s="5">
        <v>2</v>
      </c>
      <c r="B22" s="33" t="s">
        <v>20</v>
      </c>
      <c r="C22" s="33"/>
      <c r="D22" s="33"/>
      <c r="E22" s="33"/>
      <c r="F22" s="34"/>
    </row>
    <row r="23" spans="1:6" ht="48" customHeight="1" thickBot="1" x14ac:dyDescent="0.35">
      <c r="A23" s="5">
        <v>3</v>
      </c>
      <c r="B23" s="33" t="s">
        <v>21</v>
      </c>
      <c r="C23" s="33"/>
      <c r="D23" s="33"/>
      <c r="E23" s="33"/>
      <c r="F23" s="34"/>
    </row>
    <row r="24" spans="1:6" ht="23" customHeight="1" thickBot="1" x14ac:dyDescent="0.35">
      <c r="A24" s="5">
        <v>4</v>
      </c>
      <c r="B24" s="33" t="s">
        <v>8</v>
      </c>
      <c r="C24" s="33"/>
      <c r="D24" s="33"/>
      <c r="E24" s="33"/>
      <c r="F24" s="34"/>
    </row>
    <row r="25" spans="1:6" ht="30" customHeight="1" thickBot="1" x14ac:dyDescent="0.35">
      <c r="A25" s="5">
        <v>5</v>
      </c>
      <c r="B25" s="33" t="s">
        <v>22</v>
      </c>
      <c r="C25" s="33"/>
      <c r="D25" s="33"/>
      <c r="E25" s="33"/>
      <c r="F25" s="34"/>
    </row>
    <row r="26" spans="1:6" ht="23" customHeight="1" thickBot="1" x14ac:dyDescent="0.35">
      <c r="A26" s="5">
        <v>6</v>
      </c>
      <c r="B26" s="33" t="s">
        <v>9</v>
      </c>
      <c r="C26" s="33"/>
      <c r="D26" s="33"/>
      <c r="E26" s="33"/>
      <c r="F26" s="34"/>
    </row>
    <row r="27" spans="1:6" ht="23" customHeight="1" thickBot="1" x14ac:dyDescent="0.35">
      <c r="A27" s="5">
        <v>7</v>
      </c>
      <c r="B27" s="33" t="s">
        <v>10</v>
      </c>
      <c r="C27" s="33"/>
      <c r="D27" s="33"/>
      <c r="E27" s="33"/>
      <c r="F27" s="34"/>
    </row>
    <row r="28" spans="1:6" ht="23" customHeight="1" thickBot="1" x14ac:dyDescent="0.35">
      <c r="A28" s="5">
        <v>8</v>
      </c>
      <c r="B28" s="33" t="s">
        <v>11</v>
      </c>
      <c r="C28" s="33"/>
      <c r="D28" s="33"/>
      <c r="E28" s="33"/>
      <c r="F28" s="34"/>
    </row>
    <row r="29" spans="1:6" ht="23" customHeight="1" thickBot="1" x14ac:dyDescent="0.35">
      <c r="A29" s="5">
        <v>9</v>
      </c>
      <c r="B29" s="33" t="s">
        <v>7</v>
      </c>
      <c r="C29" s="33"/>
      <c r="D29" s="33"/>
      <c r="E29" s="33"/>
      <c r="F29" s="34"/>
    </row>
    <row r="30" spans="1:6" ht="23" customHeight="1" thickBot="1" x14ac:dyDescent="0.35">
      <c r="A30" s="5">
        <v>10</v>
      </c>
      <c r="B30" s="47" t="s">
        <v>18</v>
      </c>
      <c r="C30" s="48"/>
      <c r="D30" s="48"/>
      <c r="E30" s="48"/>
      <c r="F30" s="49"/>
    </row>
    <row r="31" spans="1:6" ht="23" customHeight="1" thickBot="1" x14ac:dyDescent="0.35">
      <c r="A31" s="5">
        <v>11</v>
      </c>
      <c r="B31" s="47" t="s">
        <v>17</v>
      </c>
      <c r="C31" s="48"/>
      <c r="D31" s="48"/>
      <c r="E31" s="48"/>
      <c r="F31" s="49"/>
    </row>
    <row r="32" spans="1:6" ht="23" customHeight="1" thickBot="1" x14ac:dyDescent="0.35">
      <c r="A32" s="5">
        <v>12</v>
      </c>
      <c r="B32" s="88" t="s">
        <v>27</v>
      </c>
      <c r="C32" s="89"/>
      <c r="D32" s="89"/>
      <c r="E32" s="89"/>
      <c r="F32" s="90"/>
    </row>
    <row r="33" spans="1:11" ht="23" customHeight="1" thickBot="1" x14ac:dyDescent="0.35">
      <c r="A33" s="5">
        <v>13</v>
      </c>
      <c r="B33" s="47" t="s">
        <v>23</v>
      </c>
      <c r="C33" s="48"/>
      <c r="D33" s="48"/>
      <c r="E33" s="48"/>
      <c r="F33" s="49"/>
    </row>
    <row r="34" spans="1:11" ht="23" customHeight="1" thickBot="1" x14ac:dyDescent="0.35">
      <c r="A34" s="5">
        <v>14</v>
      </c>
      <c r="B34" s="47" t="s">
        <v>13</v>
      </c>
      <c r="C34" s="48"/>
      <c r="D34" s="48"/>
      <c r="E34" s="48"/>
      <c r="F34" s="49"/>
    </row>
    <row r="35" spans="1:11" ht="23" customHeight="1" thickBot="1" x14ac:dyDescent="0.35">
      <c r="A35" s="5">
        <v>15</v>
      </c>
      <c r="B35" s="47" t="s">
        <v>12</v>
      </c>
      <c r="C35" s="48"/>
      <c r="D35" s="48"/>
      <c r="E35" s="48"/>
      <c r="F35" s="49"/>
    </row>
    <row r="36" spans="1:11" ht="31.5" customHeight="1" thickBot="1" x14ac:dyDescent="0.35">
      <c r="A36" s="5">
        <v>16</v>
      </c>
      <c r="B36" s="47" t="s">
        <v>24</v>
      </c>
      <c r="C36" s="48"/>
      <c r="D36" s="48"/>
      <c r="E36" s="48"/>
      <c r="F36" s="49"/>
    </row>
    <row r="37" spans="1:11" ht="23" customHeight="1" thickBot="1" x14ac:dyDescent="0.35">
      <c r="A37" s="5">
        <v>17</v>
      </c>
      <c r="B37" s="47" t="s">
        <v>14</v>
      </c>
      <c r="C37" s="48"/>
      <c r="D37" s="48"/>
      <c r="E37" s="48"/>
      <c r="F37" s="49"/>
    </row>
    <row r="38" spans="1:11" ht="23" customHeight="1" thickBot="1" x14ac:dyDescent="0.35">
      <c r="A38" s="5">
        <v>18</v>
      </c>
      <c r="B38" s="47" t="s">
        <v>16</v>
      </c>
      <c r="C38" s="48"/>
      <c r="D38" s="48"/>
      <c r="E38" s="48"/>
      <c r="F38" s="49"/>
    </row>
    <row r="39" spans="1:11" ht="32" customHeight="1" thickBot="1" x14ac:dyDescent="0.35">
      <c r="A39" s="5">
        <v>19</v>
      </c>
      <c r="B39" s="47" t="s">
        <v>15</v>
      </c>
      <c r="C39" s="48"/>
      <c r="D39" s="48"/>
      <c r="E39" s="48"/>
      <c r="F39" s="49"/>
    </row>
    <row r="40" spans="1:11" ht="23" customHeight="1" thickBot="1" x14ac:dyDescent="0.35">
      <c r="A40" s="5">
        <v>20</v>
      </c>
      <c r="B40" s="97" t="s">
        <v>36</v>
      </c>
      <c r="C40" s="98"/>
      <c r="D40" s="98"/>
      <c r="E40" s="98"/>
      <c r="F40" s="99"/>
      <c r="G40" s="14"/>
      <c r="H40" s="14"/>
      <c r="I40" s="14"/>
      <c r="J40" s="14"/>
      <c r="K40" s="14"/>
    </row>
    <row r="41" spans="1:11" ht="23" customHeight="1" thickBot="1" x14ac:dyDescent="0.35">
      <c r="A41" s="5">
        <v>21</v>
      </c>
      <c r="B41" s="100" t="s">
        <v>37</v>
      </c>
      <c r="C41" s="98"/>
      <c r="D41" s="98"/>
      <c r="E41" s="98"/>
      <c r="F41" s="99"/>
      <c r="G41" s="14"/>
      <c r="H41" s="14"/>
      <c r="I41" s="14"/>
      <c r="J41" s="14"/>
      <c r="K41" s="14"/>
    </row>
    <row r="42" spans="1:11" ht="32" customHeight="1" thickBot="1" x14ac:dyDescent="0.35">
      <c r="A42" s="5">
        <v>22</v>
      </c>
      <c r="B42" s="101" t="s">
        <v>38</v>
      </c>
      <c r="C42" s="98"/>
      <c r="D42" s="98"/>
      <c r="E42" s="98"/>
      <c r="F42" s="99"/>
      <c r="G42" s="14"/>
      <c r="H42" s="14"/>
      <c r="I42" s="14"/>
      <c r="J42" s="14"/>
      <c r="K42" s="14"/>
    </row>
    <row r="43" spans="1:11" ht="23" customHeight="1" thickBot="1" x14ac:dyDescent="0.35">
      <c r="A43" s="5">
        <v>23</v>
      </c>
      <c r="B43" s="102" t="s">
        <v>39</v>
      </c>
      <c r="C43" s="103"/>
      <c r="D43" s="103"/>
      <c r="E43" s="103"/>
      <c r="F43" s="104"/>
      <c r="G43" s="14"/>
      <c r="H43" s="14"/>
      <c r="I43" s="14"/>
      <c r="J43" s="14"/>
      <c r="K43" s="14"/>
    </row>
    <row r="44" spans="1:11" ht="32" customHeight="1" thickBot="1" x14ac:dyDescent="0.35">
      <c r="A44" s="5">
        <v>24</v>
      </c>
      <c r="B44" s="91" t="s">
        <v>40</v>
      </c>
      <c r="C44" s="92"/>
      <c r="D44" s="92"/>
      <c r="E44" s="92"/>
      <c r="F44" s="93"/>
      <c r="G44" s="14"/>
      <c r="H44" s="14"/>
      <c r="I44" s="14"/>
      <c r="J44" s="14"/>
      <c r="K44" s="14"/>
    </row>
    <row r="45" spans="1:11" ht="32" customHeight="1" thickBot="1" x14ac:dyDescent="0.35">
      <c r="A45" s="5">
        <v>25</v>
      </c>
      <c r="B45" s="94" t="s">
        <v>51</v>
      </c>
      <c r="C45" s="95"/>
      <c r="D45" s="95"/>
      <c r="E45" s="95"/>
      <c r="F45" s="96"/>
      <c r="G45" s="14"/>
      <c r="H45" s="14"/>
      <c r="I45" s="14"/>
      <c r="J45" s="14"/>
      <c r="K45" s="14"/>
    </row>
    <row r="46" spans="1:11" ht="23" customHeight="1" thickBot="1" x14ac:dyDescent="0.35">
      <c r="A46" s="5">
        <v>26</v>
      </c>
      <c r="B46" s="50" t="s">
        <v>25</v>
      </c>
      <c r="C46" s="51"/>
      <c r="D46" s="51"/>
      <c r="E46" s="51"/>
      <c r="F46" s="52"/>
    </row>
    <row r="47" spans="1:11" ht="20.5" customHeight="1" x14ac:dyDescent="0.3">
      <c r="A47" s="39" t="s">
        <v>50</v>
      </c>
      <c r="B47" s="40"/>
      <c r="C47" s="43" t="s">
        <v>57</v>
      </c>
      <c r="D47" s="43"/>
      <c r="E47" s="43"/>
      <c r="F47" s="44"/>
    </row>
    <row r="48" spans="1:11" ht="25.5" customHeight="1" thickBot="1" x14ac:dyDescent="0.35">
      <c r="A48" s="41"/>
      <c r="B48" s="42"/>
      <c r="C48" s="45"/>
      <c r="D48" s="45"/>
      <c r="E48" s="45"/>
      <c r="F48" s="46"/>
    </row>
    <row r="49" spans="1:6" ht="75.5" customHeight="1" thickBot="1" x14ac:dyDescent="0.35">
      <c r="A49" s="29"/>
      <c r="B49" s="30"/>
      <c r="C49" s="31"/>
      <c r="D49" s="31"/>
      <c r="E49" s="31"/>
      <c r="F49" s="32"/>
    </row>
    <row r="50" spans="1:6" x14ac:dyDescent="0.3">
      <c r="A50" s="6"/>
      <c r="B50" s="6"/>
      <c r="C50" s="7"/>
      <c r="D50" s="7"/>
      <c r="E50" s="7"/>
      <c r="F50" s="7"/>
    </row>
    <row r="51" spans="1:6" x14ac:dyDescent="0.3">
      <c r="A51" s="6"/>
      <c r="B51" s="6"/>
      <c r="C51" s="7"/>
      <c r="D51" s="7"/>
      <c r="E51" s="7"/>
      <c r="F51" s="7"/>
    </row>
    <row r="52" spans="1:6" x14ac:dyDescent="0.3">
      <c r="A52" s="6"/>
      <c r="B52" s="6"/>
      <c r="C52" s="7"/>
      <c r="D52" s="7"/>
      <c r="E52" s="7"/>
      <c r="F52" s="7"/>
    </row>
    <row r="53" spans="1:6" x14ac:dyDescent="0.3">
      <c r="A53" s="6"/>
      <c r="B53" s="6"/>
      <c r="C53" s="7"/>
      <c r="D53" s="7"/>
      <c r="E53" s="7"/>
      <c r="F53" s="7"/>
    </row>
    <row r="54" spans="1:6" x14ac:dyDescent="0.3">
      <c r="A54" s="6"/>
      <c r="B54" s="6"/>
      <c r="C54" s="7"/>
      <c r="D54" s="7"/>
      <c r="E54" s="7"/>
      <c r="F54" s="7"/>
    </row>
    <row r="55" spans="1:6" x14ac:dyDescent="0.3">
      <c r="A55" s="6"/>
      <c r="B55" s="6"/>
      <c r="C55" s="7"/>
      <c r="D55" s="7"/>
      <c r="E55" s="7"/>
      <c r="F55" s="7"/>
    </row>
    <row r="56" spans="1:6" x14ac:dyDescent="0.3">
      <c r="A56" s="6"/>
      <c r="B56" s="6"/>
      <c r="C56" s="7"/>
      <c r="D56" s="7"/>
      <c r="E56" s="7"/>
      <c r="F56" s="7"/>
    </row>
    <row r="57" spans="1:6" x14ac:dyDescent="0.3">
      <c r="A57" s="6"/>
      <c r="B57" s="6"/>
      <c r="C57" s="7"/>
      <c r="D57" s="7"/>
      <c r="E57" s="7"/>
      <c r="F57" s="7"/>
    </row>
  </sheetData>
  <mergeCells count="51">
    <mergeCell ref="B45:F45"/>
    <mergeCell ref="B40:F40"/>
    <mergeCell ref="B41:F41"/>
    <mergeCell ref="B42:F42"/>
    <mergeCell ref="B43:F43"/>
    <mergeCell ref="B18:C18"/>
    <mergeCell ref="E18:F18"/>
    <mergeCell ref="B19:C19"/>
    <mergeCell ref="D19:F19"/>
    <mergeCell ref="B39:F39"/>
    <mergeCell ref="B22:F22"/>
    <mergeCell ref="B21:F21"/>
    <mergeCell ref="B24:F24"/>
    <mergeCell ref="B37:F37"/>
    <mergeCell ref="B38:F38"/>
    <mergeCell ref="B32:F32"/>
    <mergeCell ref="B33:F33"/>
    <mergeCell ref="B34:F34"/>
    <mergeCell ref="B35:F35"/>
    <mergeCell ref="A1:E1"/>
    <mergeCell ref="A2:E2"/>
    <mergeCell ref="A3:E3"/>
    <mergeCell ref="F1:F3"/>
    <mergeCell ref="E7:F7"/>
    <mergeCell ref="A5:D5"/>
    <mergeCell ref="E5:F5"/>
    <mergeCell ref="A4:F4"/>
    <mergeCell ref="A6:D6"/>
    <mergeCell ref="E6:F6"/>
    <mergeCell ref="A7:D7"/>
    <mergeCell ref="A49:B49"/>
    <mergeCell ref="C49:F49"/>
    <mergeCell ref="B27:F27"/>
    <mergeCell ref="B20:F20"/>
    <mergeCell ref="B23:F23"/>
    <mergeCell ref="A47:B48"/>
    <mergeCell ref="C47:F48"/>
    <mergeCell ref="B25:F25"/>
    <mergeCell ref="B29:F29"/>
    <mergeCell ref="B28:F28"/>
    <mergeCell ref="B26:F26"/>
    <mergeCell ref="B30:F30"/>
    <mergeCell ref="B31:F31"/>
    <mergeCell ref="B46:F46"/>
    <mergeCell ref="B36:F36"/>
    <mergeCell ref="B44:F44"/>
    <mergeCell ref="F10:F17"/>
    <mergeCell ref="A10:A17"/>
    <mergeCell ref="C10:C17"/>
    <mergeCell ref="D10:D17"/>
    <mergeCell ref="E10:E17"/>
  </mergeCells>
  <pageMargins left="0.39370078740157483" right="0.39370078740157483" top="0.94" bottom="1.34" header="0" footer="0"/>
  <pageSetup paperSize="9" scale="74"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RAINING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Lenovo12</dc:creator>
  <cp:lastModifiedBy>Purchase (Pramukh Group - Surat)</cp:lastModifiedBy>
  <cp:lastPrinted>2026-01-21T07:46:34Z</cp:lastPrinted>
  <dcterms:created xsi:type="dcterms:W3CDTF">2017-08-03T12:33:29Z</dcterms:created>
  <dcterms:modified xsi:type="dcterms:W3CDTF">2026-03-25T05:23:48Z</dcterms:modified>
</cp:coreProperties>
</file>