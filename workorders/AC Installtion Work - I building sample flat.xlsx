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CFF5510F-2D0B-4D19-A3FB-3C005E6A665C}" xr6:coauthVersionLast="47" xr6:coauthVersionMax="47" xr10:uidLastSave="{00000000-0000-0000-0000-000000000000}"/>
  <bookViews>
    <workbookView xWindow="-110" yWindow="-110" windowWidth="19420" windowHeight="1030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1" l="1"/>
  <c r="F10" i="1"/>
  <c r="F11" i="1"/>
  <c r="F12" i="1"/>
  <c r="D13" i="1" l="1"/>
  <c r="F8" i="1" l="1"/>
  <c r="D15" i="1" l="1"/>
</calcChain>
</file>

<file path=xl/sharedStrings.xml><?xml version="1.0" encoding="utf-8"?>
<sst xmlns="http://schemas.openxmlformats.org/spreadsheetml/2006/main" count="40" uniqueCount="40">
  <si>
    <r>
      <rPr>
        <b/>
        <sz val="8.5"/>
        <rFont val="Times New Roman"/>
        <family val="1"/>
      </rPr>
      <t xml:space="preserve">Sr.
</t>
    </r>
    <r>
      <rPr>
        <b/>
        <sz val="8.5"/>
        <rFont val="Times New Roman"/>
        <family val="1"/>
      </rPr>
      <t>No.</t>
    </r>
  </si>
  <si>
    <r>
      <rPr>
        <b/>
        <sz val="8.5"/>
        <rFont val="Times New Roman"/>
        <family val="1"/>
      </rPr>
      <t>Unit</t>
    </r>
  </si>
  <si>
    <r>
      <rPr>
        <b/>
        <sz val="8.5"/>
        <rFont val="Times New Roman"/>
        <family val="1"/>
      </rPr>
      <t>Qty</t>
    </r>
  </si>
  <si>
    <r>
      <rPr>
        <b/>
        <sz val="8.5"/>
        <rFont val="Times New Roman"/>
        <family val="1"/>
      </rPr>
      <t xml:space="preserve">Rate/ Unit
</t>
    </r>
    <r>
      <rPr>
        <b/>
        <sz val="8.5"/>
        <rFont val="Times New Roman"/>
        <family val="1"/>
      </rPr>
      <t>(Rs.)</t>
    </r>
  </si>
  <si>
    <r>
      <rPr>
        <b/>
        <sz val="8.5"/>
        <rFont val="Times New Roman"/>
        <family val="1"/>
      </rPr>
      <t>Amount ( In Rs.)</t>
    </r>
  </si>
  <si>
    <r>
      <rPr>
        <b/>
        <sz val="8.5"/>
        <rFont val="Times New Roman"/>
        <family val="1"/>
      </rPr>
      <t>Total</t>
    </r>
  </si>
  <si>
    <r>
      <rPr>
        <b/>
        <sz val="8.5"/>
        <rFont val="Times New Roman"/>
        <family val="1"/>
      </rPr>
      <t>G.TOTAL</t>
    </r>
  </si>
  <si>
    <r>
      <rPr>
        <b/>
        <sz val="8.5"/>
        <rFont val="Times New Roman"/>
        <family val="1"/>
      </rPr>
      <t>Grand Total</t>
    </r>
  </si>
  <si>
    <r>
      <rPr>
        <b/>
        <sz val="10.5"/>
        <rFont val="Times New Roman"/>
        <family val="1"/>
      </rPr>
      <t>*</t>
    </r>
  </si>
  <si>
    <r>
      <rPr>
        <b/>
        <u/>
        <sz val="8.5"/>
        <rFont val="Times New Roman"/>
        <family val="1"/>
      </rPr>
      <t>Terms &amp; Conditions:</t>
    </r>
  </si>
  <si>
    <t>Transportation</t>
  </si>
  <si>
    <t>Total Cost above is approximate, Final Cost will be as per actual Measurement</t>
  </si>
  <si>
    <t>WORK ORDER</t>
  </si>
  <si>
    <r>
      <rPr>
        <b/>
        <sz val="8.5"/>
        <rFont val="Times New Roman"/>
        <family val="1"/>
      </rPr>
      <t xml:space="preserve">Payment Condition </t>
    </r>
    <r>
      <rPr>
        <sz val="8.5"/>
        <rFont val="Times New Roman"/>
        <family val="1"/>
      </rPr>
      <t>-  100% after 30 days of bill submission</t>
    </r>
  </si>
  <si>
    <t>Deviation in Specifications : Not Allowed unless approved in writing</t>
  </si>
  <si>
    <r>
      <rPr>
        <sz val="8"/>
        <rFont val="Times New Roman"/>
        <family val="1"/>
      </rPr>
      <t>All Bill shall be approved by Site Engineer before submission</t>
    </r>
  </si>
  <si>
    <r>
      <rPr>
        <sz val="8"/>
        <color rgb="FF4F4F4F"/>
        <rFont val="Times New Roman"/>
        <family val="1"/>
      </rPr>
      <t xml:space="preserve">If </t>
    </r>
    <r>
      <rPr>
        <sz val="8"/>
        <color rgb="FF4D4D4D"/>
        <rFont val="Times New Roman"/>
        <family val="1"/>
      </rPr>
      <t xml:space="preserve">any </t>
    </r>
    <r>
      <rPr>
        <sz val="8"/>
        <color rgb="FF464646"/>
        <rFont val="Times New Roman"/>
        <family val="1"/>
      </rPr>
      <t xml:space="preserve">accident </t>
    </r>
    <r>
      <rPr>
        <sz val="8"/>
        <color rgb="FF414141"/>
        <rFont val="Times New Roman"/>
        <family val="1"/>
      </rPr>
      <t xml:space="preserve">take place </t>
    </r>
    <r>
      <rPr>
        <sz val="8"/>
        <color rgb="FF4D4D4D"/>
        <rFont val="Times New Roman"/>
        <family val="1"/>
      </rPr>
      <t xml:space="preserve">at </t>
    </r>
    <r>
      <rPr>
        <sz val="8"/>
        <color rgb="FF424242"/>
        <rFont val="Times New Roman"/>
        <family val="1"/>
      </rPr>
      <t xml:space="preserve">site </t>
    </r>
    <r>
      <rPr>
        <sz val="8"/>
        <color rgb="FF464646"/>
        <rFont val="Times New Roman"/>
        <family val="1"/>
      </rPr>
      <t xml:space="preserve">contractor </t>
    </r>
    <r>
      <rPr>
        <sz val="8"/>
        <color rgb="FF4D4D4D"/>
        <rFont val="Times New Roman"/>
        <family val="1"/>
      </rPr>
      <t xml:space="preserve">is </t>
    </r>
    <r>
      <rPr>
        <sz val="8"/>
        <color rgb="FF3B3B3B"/>
        <rFont val="Times New Roman"/>
        <family val="1"/>
      </rPr>
      <t xml:space="preserve">solely </t>
    </r>
    <r>
      <rPr>
        <sz val="8"/>
        <color rgb="FF3F3F3F"/>
        <rFont val="Times New Roman"/>
        <family val="1"/>
      </rPr>
      <t xml:space="preserve">responsible </t>
    </r>
    <r>
      <rPr>
        <sz val="8"/>
        <color rgb="FF464646"/>
        <rFont val="Times New Roman"/>
        <family val="1"/>
      </rPr>
      <t xml:space="preserve">for it, </t>
    </r>
    <r>
      <rPr>
        <sz val="8"/>
        <color rgb="FF383838"/>
        <rFont val="Times New Roman"/>
        <family val="1"/>
      </rPr>
      <t xml:space="preserve">builder </t>
    </r>
    <r>
      <rPr>
        <sz val="8"/>
        <color rgb="FF464646"/>
        <rFont val="Times New Roman"/>
        <family val="1"/>
      </rPr>
      <t xml:space="preserve">has </t>
    </r>
    <r>
      <rPr>
        <sz val="8"/>
        <color rgb="FF4D4D4D"/>
        <rFont val="Times New Roman"/>
        <family val="1"/>
      </rPr>
      <t xml:space="preserve">no </t>
    </r>
    <r>
      <rPr>
        <sz val="8"/>
        <color rgb="FF3B3B3B"/>
        <rFont val="Times New Roman"/>
        <family val="1"/>
      </rPr>
      <t xml:space="preserve">responsibility </t>
    </r>
    <r>
      <rPr>
        <sz val="8"/>
        <color rgb="FF343434"/>
        <rFont val="Times New Roman"/>
        <family val="1"/>
      </rPr>
      <t xml:space="preserve">for </t>
    </r>
    <r>
      <rPr>
        <sz val="8"/>
        <color rgb="FF444444"/>
        <rFont val="Times New Roman"/>
        <family val="1"/>
      </rPr>
      <t xml:space="preserve">the </t>
    </r>
    <r>
      <rPr>
        <sz val="8"/>
        <color rgb="FF424242"/>
        <rFont val="Times New Roman"/>
        <family val="1"/>
      </rPr>
      <t>same.</t>
    </r>
  </si>
  <si>
    <t>All work shall be done as per Standard Quality. If quality is found unsatisfactory, client reserves the right to give Debit to Contractor for the same or Contractor will have to do re-work for the same</t>
  </si>
  <si>
    <t>Work Description</t>
  </si>
  <si>
    <t>All Work comes under the BOCW Act,1996</t>
  </si>
  <si>
    <t xml:space="preserve">The PF Act shall be applicable to every person who has been employed by or by the Contractor or in any association with the work of the establishment. </t>
  </si>
  <si>
    <t>Bill to be paid only on 1st to and 5th of every month (only if bill will submitte in of previous month, if not than it is consider in  next month.)</t>
  </si>
  <si>
    <t xml:space="preserve">Ananta AC Installation Work </t>
  </si>
  <si>
    <t>-</t>
  </si>
  <si>
    <r>
      <rPr>
        <b/>
        <sz val="20"/>
        <color rgb="FF16365B"/>
        <rFont val="Times New Roman"/>
        <family val="1"/>
      </rPr>
      <t xml:space="preserve">AMAYA CORPORATION
</t>
    </r>
    <r>
      <rPr>
        <b/>
        <sz val="9"/>
        <rFont val="Times New Roman"/>
        <family val="1"/>
      </rPr>
      <t xml:space="preserve">1001,1002, 10th Floor, Orbit 2, Canal Road, Vesu, Surat, 395007
</t>
    </r>
    <r>
      <rPr>
        <u/>
        <sz val="8.5"/>
        <color rgb="FF4F80BC"/>
        <rFont val="Times New Roman"/>
        <family val="1"/>
      </rPr>
      <t>Email: purchase@mypramukh.com</t>
    </r>
  </si>
  <si>
    <t>Agency Name -  UNICOOL ENGINEERS
Address: Halston building, below sarvoday bank, science center, nr. Nupur hospital, city light, surat 395007
Phone Numbr - 90331 29661                                                                                           GST : 24AFSPP8397L1ZB</t>
  </si>
  <si>
    <t>Quotation NO.-  UE/RP/25/01</t>
  </si>
  <si>
    <t>Saturday, 12th April, 2025</t>
  </si>
  <si>
    <t>SAMSUNG 1.5 ton 1 way casset AC (3 Star Inverter)</t>
  </si>
  <si>
    <t>TOSHIBA 1 ton Spilt AC (3 Star Non Inverter)</t>
  </si>
  <si>
    <t>GST incl.</t>
  </si>
  <si>
    <t>Casset AC installation</t>
  </si>
  <si>
    <t>Copper Piping, installatin, cable for 1 and 1.5 ton AC</t>
  </si>
  <si>
    <t>Readymade ODU stand</t>
  </si>
  <si>
    <t>Two Lacs Twenty Thousand Three Hundred Only</t>
  </si>
  <si>
    <t>For, UNICOOL ENGINEERS</t>
  </si>
  <si>
    <t>For, AMAYA CORPORATION</t>
  </si>
  <si>
    <t>W.O. No.: TI/WO/25/06</t>
  </si>
  <si>
    <t>Project Name - Pramukh Amaya, Surat
Billing   Address:  TP7, FP72, Pramukh Revanta, Vesu Canal Road, Sun Shine Residency, Surat 394518
Contact Person: Shyam Bhaatu - 70169 51962</t>
  </si>
  <si>
    <t>GST No - 24ABZFA6800G1ZB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</si>
</sst>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Times New Roman"/>
      <charset val="204"/>
    </font>
    <font>
      <b/>
      <sz val="10.5"/>
      <name val="Times New Roman"/>
      <family val="1"/>
    </font>
    <font>
      <b/>
      <sz val="8.5"/>
      <name val="Times New Roman"/>
      <family val="1"/>
    </font>
    <font>
      <b/>
      <sz val="9"/>
      <name val="Times New Roman"/>
      <family val="1"/>
    </font>
    <font>
      <sz val="8.5"/>
      <color rgb="FF000000"/>
      <name val="Times New Roman"/>
      <family val="2"/>
    </font>
    <font>
      <sz val="8.5"/>
      <name val="Times New Roman"/>
      <family val="1"/>
    </font>
    <font>
      <b/>
      <sz val="8.5"/>
      <color rgb="FF000000"/>
      <name val="Times New Roman"/>
      <family val="2"/>
    </font>
    <font>
      <b/>
      <sz val="20"/>
      <color rgb="FF16365B"/>
      <name val="Times New Roman"/>
      <family val="1"/>
    </font>
    <font>
      <u/>
      <sz val="8.5"/>
      <color rgb="FF4F80BC"/>
      <name val="Times New Roman"/>
      <family val="1"/>
    </font>
    <font>
      <b/>
      <sz val="8.5"/>
      <name val="Times New Roman"/>
      <family val="1"/>
    </font>
    <font>
      <sz val="8.5"/>
      <name val="Times New Roman"/>
      <family val="1"/>
    </font>
    <font>
      <b/>
      <u/>
      <sz val="8.5"/>
      <name val="Times New Roman"/>
      <family val="1"/>
    </font>
    <font>
      <sz val="10"/>
      <color rgb="FF000000"/>
      <name val="Times New Roman"/>
      <family val="1"/>
    </font>
    <font>
      <b/>
      <sz val="11"/>
      <name val="Times New Roman"/>
      <family val="1"/>
    </font>
    <font>
      <b/>
      <sz val="10"/>
      <color rgb="FF000000"/>
      <name val="Times New Roman"/>
      <family val="1"/>
    </font>
    <font>
      <sz val="8"/>
      <name val="Times New Roman"/>
      <family val="1"/>
    </font>
    <font>
      <sz val="8"/>
      <color rgb="FF4F4F4F"/>
      <name val="Times New Roman"/>
      <family val="1"/>
    </font>
    <font>
      <sz val="8"/>
      <color rgb="FF4D4D4D"/>
      <name val="Times New Roman"/>
      <family val="1"/>
    </font>
    <font>
      <sz val="8"/>
      <color rgb="FF464646"/>
      <name val="Times New Roman"/>
      <family val="1"/>
    </font>
    <font>
      <sz val="8"/>
      <color rgb="FF414141"/>
      <name val="Times New Roman"/>
      <family val="1"/>
    </font>
    <font>
      <sz val="8"/>
      <color rgb="FF424242"/>
      <name val="Times New Roman"/>
      <family val="1"/>
    </font>
    <font>
      <sz val="8"/>
      <color rgb="FF3B3B3B"/>
      <name val="Times New Roman"/>
      <family val="1"/>
    </font>
    <font>
      <sz val="8"/>
      <color rgb="FF3F3F3F"/>
      <name val="Times New Roman"/>
      <family val="1"/>
    </font>
    <font>
      <sz val="8"/>
      <color rgb="FF383838"/>
      <name val="Times New Roman"/>
      <family val="1"/>
    </font>
    <font>
      <sz val="8"/>
      <color rgb="FF343434"/>
      <name val="Times New Roman"/>
      <family val="1"/>
    </font>
    <font>
      <sz val="8"/>
      <color rgb="FF444444"/>
      <name val="Times New Roman"/>
      <family val="1"/>
    </font>
    <font>
      <sz val="8"/>
      <color rgb="FF000000"/>
      <name val="Times New Roman"/>
      <family val="1"/>
    </font>
    <font>
      <b/>
      <sz val="8.5"/>
      <name val="Times New Roman"/>
      <family val="1"/>
    </font>
    <font>
      <sz val="9"/>
      <name val="Times New Roman"/>
      <family val="1"/>
    </font>
    <font>
      <sz val="9"/>
      <color rgb="FF000000"/>
      <name val="Times New Roman"/>
      <family val="1"/>
    </font>
  </fonts>
  <fills count="3">
    <fill>
      <patternFill patternType="none"/>
    </fill>
    <fill>
      <patternFill patternType="gray125"/>
    </fill>
    <fill>
      <patternFill patternType="solid">
        <fgColor rgb="FFEDEBE1"/>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s>
  <cellStyleXfs count="1">
    <xf numFmtId="0" fontId="0" fillId="0" borderId="0"/>
  </cellStyleXfs>
  <cellXfs count="66">
    <xf numFmtId="0" fontId="0" fillId="0" borderId="0" xfId="0"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indent="1"/>
    </xf>
    <xf numFmtId="0" fontId="0" fillId="0" borderId="1" xfId="0" applyBorder="1" applyAlignment="1">
      <alignment horizontal="left" vertical="top" wrapText="1" indent="1"/>
    </xf>
    <xf numFmtId="0" fontId="2" fillId="0" borderId="1" xfId="0" applyFont="1" applyBorder="1" applyAlignment="1">
      <alignment horizontal="left" vertical="center" wrapText="1" indent="6"/>
    </xf>
    <xf numFmtId="1" fontId="4" fillId="0" borderId="1" xfId="0" applyNumberFormat="1" applyFont="1" applyBorder="1" applyAlignment="1">
      <alignment horizontal="left" vertical="center" indent="1" shrinkToFit="1"/>
    </xf>
    <xf numFmtId="1" fontId="4" fillId="0" borderId="1" xfId="0" applyNumberFormat="1" applyFont="1" applyBorder="1" applyAlignment="1">
      <alignment horizontal="right" vertical="center" shrinkToFit="1"/>
    </xf>
    <xf numFmtId="4" fontId="4" fillId="0" borderId="1" xfId="0" applyNumberFormat="1" applyFont="1" applyBorder="1" applyAlignment="1">
      <alignment horizontal="right" vertical="center" shrinkToFit="1"/>
    </xf>
    <xf numFmtId="0" fontId="0" fillId="0" borderId="1" xfId="0" applyBorder="1" applyAlignment="1">
      <alignment horizontal="left" wrapText="1"/>
    </xf>
    <xf numFmtId="4" fontId="6" fillId="0" borderId="2" xfId="0" applyNumberFormat="1" applyFont="1" applyBorder="1" applyAlignment="1">
      <alignment horizontal="right" vertical="top" shrinkToFit="1"/>
    </xf>
    <xf numFmtId="4" fontId="6" fillId="0" borderId="3" xfId="0" applyNumberFormat="1" applyFont="1" applyBorder="1" applyAlignment="1">
      <alignment horizontal="right" vertical="top" shrinkToFit="1"/>
    </xf>
    <xf numFmtId="4" fontId="6" fillId="0" borderId="4" xfId="0" applyNumberFormat="1" applyFont="1" applyBorder="1" applyAlignment="1">
      <alignment horizontal="right" vertical="top" shrinkToFit="1"/>
    </xf>
    <xf numFmtId="0" fontId="0" fillId="0" borderId="1" xfId="0" applyBorder="1" applyAlignment="1">
      <alignment horizontal="left" vertical="center" wrapText="1"/>
    </xf>
    <xf numFmtId="0" fontId="1" fillId="0" borderId="1" xfId="0" applyFont="1" applyBorder="1" applyAlignment="1">
      <alignment horizontal="left" vertical="top" wrapText="1" indent="1"/>
    </xf>
    <xf numFmtId="1" fontId="4" fillId="0" borderId="1" xfId="0" applyNumberFormat="1" applyFont="1" applyBorder="1" applyAlignment="1">
      <alignment horizontal="left" vertical="top" indent="1" shrinkToFit="1"/>
    </xf>
    <xf numFmtId="3" fontId="14" fillId="0" borderId="1" xfId="0" applyNumberFormat="1" applyFont="1" applyBorder="1" applyAlignment="1">
      <alignment horizontal="right" vertical="center" shrinkToFit="1"/>
    </xf>
    <xf numFmtId="0" fontId="9" fillId="0" borderId="1" xfId="0" applyFont="1" applyBorder="1" applyAlignment="1">
      <alignment horizontal="left" vertical="center" wrapText="1" indent="7"/>
    </xf>
    <xf numFmtId="0" fontId="5" fillId="0" borderId="1" xfId="0" applyFont="1" applyBorder="1" applyAlignment="1">
      <alignment horizontal="center" vertical="center" wrapText="1"/>
    </xf>
    <xf numFmtId="0" fontId="28" fillId="0" borderId="1" xfId="0" applyFont="1" applyBorder="1" applyAlignment="1">
      <alignment horizontal="left"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xf numFmtId="0" fontId="2" fillId="0" borderId="4" xfId="0" applyFont="1" applyBorder="1" applyAlignment="1">
      <alignment horizontal="right" vertical="center" wrapText="1"/>
    </xf>
    <xf numFmtId="4" fontId="2" fillId="0" borderId="2" xfId="0" applyNumberFormat="1" applyFont="1" applyBorder="1" applyAlignment="1">
      <alignment horizontal="right" vertical="top" wrapText="1" indent="1"/>
    </xf>
    <xf numFmtId="4" fontId="2" fillId="0" borderId="3" xfId="0" applyNumberFormat="1" applyFont="1" applyBorder="1" applyAlignment="1">
      <alignment horizontal="right" vertical="top" wrapText="1" indent="1"/>
    </xf>
    <xf numFmtId="4" fontId="2" fillId="0" borderId="4" xfId="0" applyNumberFormat="1" applyFont="1" applyBorder="1" applyAlignment="1">
      <alignment horizontal="right" vertical="top" wrapText="1" inden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15" fillId="0" borderId="2" xfId="0" applyFont="1" applyBorder="1" applyAlignment="1">
      <alignment horizontal="left" vertical="top" wrapText="1"/>
    </xf>
    <xf numFmtId="0" fontId="15" fillId="0" borderId="3" xfId="0" applyFont="1" applyBorder="1" applyAlignment="1">
      <alignment horizontal="left" vertical="top" wrapText="1"/>
    </xf>
    <xf numFmtId="0" fontId="15" fillId="0" borderId="4" xfId="0" applyFont="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9" fillId="0" borderId="2" xfId="0" applyFont="1" applyBorder="1" applyAlignment="1">
      <alignment horizontal="right" vertical="top" wrapText="1"/>
    </xf>
    <xf numFmtId="0" fontId="9" fillId="0" borderId="4" xfId="0" applyFont="1" applyBorder="1" applyAlignment="1">
      <alignment horizontal="right" vertical="top" wrapText="1"/>
    </xf>
    <xf numFmtId="0" fontId="2" fillId="0" borderId="2" xfId="0" applyFont="1" applyBorder="1" applyAlignment="1">
      <alignment horizontal="right" vertical="top" wrapText="1"/>
    </xf>
    <xf numFmtId="0" fontId="2" fillId="0" borderId="4" xfId="0" applyFont="1" applyBorder="1" applyAlignment="1">
      <alignment horizontal="righ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4" fontId="6" fillId="0" borderId="2" xfId="0" applyNumberFormat="1" applyFont="1" applyBorder="1" applyAlignment="1">
      <alignment horizontal="right" vertical="top" shrinkToFit="1"/>
    </xf>
    <xf numFmtId="4" fontId="6" fillId="0" borderId="3" xfId="0" applyNumberFormat="1" applyFont="1" applyBorder="1" applyAlignment="1">
      <alignment horizontal="right" vertical="top" shrinkToFit="1"/>
    </xf>
    <xf numFmtId="4" fontId="6" fillId="0" borderId="4" xfId="0" applyNumberFormat="1" applyFont="1" applyBorder="1" applyAlignment="1">
      <alignment horizontal="right" vertical="top" shrinkToFit="1"/>
    </xf>
    <xf numFmtId="0" fontId="12"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3" fillId="0" borderId="2" xfId="0" applyFont="1" applyBorder="1" applyAlignment="1">
      <alignment horizontal="center" vertical="top" wrapText="1"/>
    </xf>
    <xf numFmtId="0" fontId="13" fillId="0" borderId="3" xfId="0" applyFont="1" applyBorder="1" applyAlignment="1">
      <alignment horizontal="center" vertical="top" wrapText="1"/>
    </xf>
    <xf numFmtId="0" fontId="13" fillId="0" borderId="4" xfId="0" applyFont="1" applyBorder="1" applyAlignment="1">
      <alignment horizontal="center" vertical="top" wrapText="1"/>
    </xf>
    <xf numFmtId="0" fontId="3" fillId="0" borderId="2" xfId="0" applyFont="1" applyBorder="1" applyAlignment="1">
      <alignment horizontal="left" vertical="top" wrapText="1"/>
    </xf>
    <xf numFmtId="0" fontId="29" fillId="0" borderId="5" xfId="0" applyFont="1" applyBorder="1" applyAlignment="1">
      <alignment horizontal="left" vertical="top" wrapText="1"/>
    </xf>
    <xf numFmtId="0" fontId="27"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424446</xdr:colOff>
      <xdr:row>0</xdr:row>
      <xdr:rowOff>141096</xdr:rowOff>
    </xdr:from>
    <xdr:ext cx="1321804" cy="636865"/>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80546" y="141096"/>
          <a:ext cx="1321804" cy="63686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pramukh.c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topLeftCell="A14" zoomScaleNormal="100" workbookViewId="0">
      <selection activeCell="H25" sqref="H25"/>
    </sheetView>
  </sheetViews>
  <sheetFormatPr defaultRowHeight="13" x14ac:dyDescent="0.3"/>
  <cols>
    <col min="1" max="1" width="4.8984375" customWidth="1"/>
    <col min="2" max="2" width="42" customWidth="1"/>
    <col min="3" max="3" width="7.09765625" customWidth="1"/>
    <col min="4" max="5" width="7.296875" customWidth="1"/>
    <col min="6" max="6" width="37.796875" customWidth="1"/>
  </cols>
  <sheetData>
    <row r="1" spans="1:6" ht="73.25" customHeight="1" x14ac:dyDescent="0.3">
      <c r="A1" s="57" t="s">
        <v>24</v>
      </c>
      <c r="B1" s="58"/>
      <c r="C1" s="58"/>
      <c r="D1" s="58"/>
      <c r="E1" s="59"/>
      <c r="F1" s="1"/>
    </row>
    <row r="2" spans="1:6" ht="15" customHeight="1" x14ac:dyDescent="0.3">
      <c r="A2" s="60" t="s">
        <v>12</v>
      </c>
      <c r="B2" s="61"/>
      <c r="C2" s="61"/>
      <c r="D2" s="61"/>
      <c r="E2" s="61"/>
      <c r="F2" s="62"/>
    </row>
    <row r="3" spans="1:6" ht="70" customHeight="1" x14ac:dyDescent="0.3">
      <c r="A3" s="20" t="s">
        <v>25</v>
      </c>
      <c r="B3" s="40"/>
      <c r="C3" s="40"/>
      <c r="D3" s="39"/>
      <c r="E3" s="63" t="s">
        <v>38</v>
      </c>
      <c r="F3" s="64"/>
    </row>
    <row r="4" spans="1:6" ht="15" customHeight="1" x14ac:dyDescent="0.3">
      <c r="A4" s="20" t="s">
        <v>26</v>
      </c>
      <c r="B4" s="21"/>
      <c r="C4" s="21"/>
      <c r="D4" s="22"/>
      <c r="E4" s="20" t="s">
        <v>39</v>
      </c>
      <c r="F4" s="65"/>
    </row>
    <row r="5" spans="1:6" ht="12.5" customHeight="1" x14ac:dyDescent="0.3">
      <c r="A5" s="20" t="s">
        <v>37</v>
      </c>
      <c r="B5" s="21"/>
      <c r="C5" s="21"/>
      <c r="D5" s="22"/>
      <c r="E5" s="20" t="s">
        <v>27</v>
      </c>
      <c r="F5" s="22"/>
    </row>
    <row r="6" spans="1:6" ht="12.75" customHeight="1" x14ac:dyDescent="0.3">
      <c r="A6" s="51" t="s">
        <v>22</v>
      </c>
      <c r="B6" s="52"/>
      <c r="C6" s="52"/>
      <c r="D6" s="52"/>
      <c r="E6" s="52"/>
      <c r="F6" s="53"/>
    </row>
    <row r="7" spans="1:6" ht="32.75" customHeight="1" x14ac:dyDescent="0.3">
      <c r="A7" s="1" t="s">
        <v>0</v>
      </c>
      <c r="B7" s="17" t="s">
        <v>18</v>
      </c>
      <c r="C7" s="2" t="s">
        <v>1</v>
      </c>
      <c r="D7" s="3" t="s">
        <v>2</v>
      </c>
      <c r="E7" s="4" t="s">
        <v>3</v>
      </c>
      <c r="F7" s="5" t="s">
        <v>4</v>
      </c>
    </row>
    <row r="8" spans="1:6" ht="20.5" customHeight="1" x14ac:dyDescent="0.3">
      <c r="A8" s="6">
        <v>1</v>
      </c>
      <c r="B8" s="19" t="s">
        <v>28</v>
      </c>
      <c r="C8" s="18">
        <v>1</v>
      </c>
      <c r="D8" s="16">
        <v>1</v>
      </c>
      <c r="E8" s="7">
        <v>94000</v>
      </c>
      <c r="F8" s="8">
        <f>D8*E8</f>
        <v>94000</v>
      </c>
    </row>
    <row r="9" spans="1:6" ht="20.5" customHeight="1" x14ac:dyDescent="0.3">
      <c r="A9" s="6">
        <v>2</v>
      </c>
      <c r="B9" s="19" t="s">
        <v>29</v>
      </c>
      <c r="C9" s="18">
        <v>1</v>
      </c>
      <c r="D9" s="16">
        <v>3</v>
      </c>
      <c r="E9" s="7">
        <v>31000</v>
      </c>
      <c r="F9" s="8">
        <f t="shared" ref="F9:F12" si="0">D9*E9</f>
        <v>93000</v>
      </c>
    </row>
    <row r="10" spans="1:6" ht="20.5" customHeight="1" x14ac:dyDescent="0.3">
      <c r="A10" s="6">
        <v>3</v>
      </c>
      <c r="B10" s="19" t="s">
        <v>31</v>
      </c>
      <c r="C10" s="18">
        <v>1</v>
      </c>
      <c r="D10" s="16">
        <v>1</v>
      </c>
      <c r="E10" s="7">
        <v>2360</v>
      </c>
      <c r="F10" s="8">
        <f t="shared" si="0"/>
        <v>2360</v>
      </c>
    </row>
    <row r="11" spans="1:6" ht="20.5" customHeight="1" x14ac:dyDescent="0.3">
      <c r="A11" s="6">
        <v>4</v>
      </c>
      <c r="B11" s="19" t="s">
        <v>32</v>
      </c>
      <c r="C11" s="18">
        <v>1</v>
      </c>
      <c r="D11" s="16">
        <v>120</v>
      </c>
      <c r="E11" s="7">
        <v>248</v>
      </c>
      <c r="F11" s="8">
        <f t="shared" si="0"/>
        <v>29760</v>
      </c>
    </row>
    <row r="12" spans="1:6" ht="49" customHeight="1" x14ac:dyDescent="0.3">
      <c r="A12" s="6">
        <v>5</v>
      </c>
      <c r="B12" s="19" t="s">
        <v>33</v>
      </c>
      <c r="C12" s="18">
        <v>1</v>
      </c>
      <c r="D12" s="16">
        <v>2</v>
      </c>
      <c r="E12" s="7">
        <v>590</v>
      </c>
      <c r="F12" s="8">
        <f t="shared" si="0"/>
        <v>1180</v>
      </c>
    </row>
    <row r="13" spans="1:6" ht="12" customHeight="1" x14ac:dyDescent="0.3">
      <c r="A13" s="9"/>
      <c r="B13" s="49" t="s">
        <v>5</v>
      </c>
      <c r="C13" s="50"/>
      <c r="D13" s="54">
        <f>SUM(F8:F12)</f>
        <v>220300</v>
      </c>
      <c r="E13" s="55"/>
      <c r="F13" s="56"/>
    </row>
    <row r="14" spans="1:6" ht="12" customHeight="1" x14ac:dyDescent="0.3">
      <c r="A14" s="9"/>
      <c r="B14" s="47" t="s">
        <v>10</v>
      </c>
      <c r="C14" s="48"/>
      <c r="D14" s="10"/>
      <c r="E14" s="11"/>
      <c r="F14" s="12" t="s">
        <v>23</v>
      </c>
    </row>
    <row r="15" spans="1:6" ht="12" customHeight="1" x14ac:dyDescent="0.3">
      <c r="A15" s="9"/>
      <c r="B15" s="49" t="s">
        <v>6</v>
      </c>
      <c r="C15" s="50"/>
      <c r="D15" s="26">
        <f>D13</f>
        <v>220300</v>
      </c>
      <c r="E15" s="27"/>
      <c r="F15" s="28"/>
    </row>
    <row r="16" spans="1:6" ht="24.5" customHeight="1" x14ac:dyDescent="0.3">
      <c r="A16" s="13"/>
      <c r="B16" s="49" t="s">
        <v>7</v>
      </c>
      <c r="C16" s="50"/>
      <c r="D16" s="23" t="s">
        <v>34</v>
      </c>
      <c r="E16" s="24"/>
      <c r="F16" s="25"/>
    </row>
    <row r="17" spans="1:6" ht="15" customHeight="1" x14ac:dyDescent="0.3">
      <c r="A17" s="14" t="s">
        <v>8</v>
      </c>
      <c r="B17" s="20" t="s">
        <v>9</v>
      </c>
      <c r="C17" s="21"/>
      <c r="D17" s="21"/>
      <c r="E17" s="21"/>
      <c r="F17" s="22"/>
    </row>
    <row r="18" spans="1:6" ht="13.5" customHeight="1" x14ac:dyDescent="0.3">
      <c r="A18" s="15">
        <v>1</v>
      </c>
      <c r="B18" s="29" t="s">
        <v>30</v>
      </c>
      <c r="C18" s="30"/>
      <c r="D18" s="30"/>
      <c r="E18" s="30"/>
      <c r="F18" s="31"/>
    </row>
    <row r="19" spans="1:6" ht="13.5" customHeight="1" x14ac:dyDescent="0.3">
      <c r="A19" s="15">
        <v>2</v>
      </c>
      <c r="B19" s="32" t="s">
        <v>11</v>
      </c>
      <c r="C19" s="33"/>
      <c r="D19" s="33"/>
      <c r="E19" s="33"/>
      <c r="F19" s="34"/>
    </row>
    <row r="20" spans="1:6" ht="12.5" customHeight="1" x14ac:dyDescent="0.3">
      <c r="A20" s="15">
        <v>3</v>
      </c>
      <c r="B20" s="32" t="s">
        <v>13</v>
      </c>
      <c r="C20" s="33"/>
      <c r="D20" s="33"/>
      <c r="E20" s="33"/>
      <c r="F20" s="34"/>
    </row>
    <row r="21" spans="1:6" ht="12" customHeight="1" x14ac:dyDescent="0.3">
      <c r="A21" s="15">
        <v>4</v>
      </c>
      <c r="B21" s="29" t="s">
        <v>21</v>
      </c>
      <c r="C21" s="30"/>
      <c r="D21" s="30"/>
      <c r="E21" s="30"/>
      <c r="F21" s="31"/>
    </row>
    <row r="22" spans="1:6" ht="12" customHeight="1" x14ac:dyDescent="0.3">
      <c r="A22" s="15">
        <v>5</v>
      </c>
      <c r="B22" s="29" t="s">
        <v>19</v>
      </c>
      <c r="C22" s="30"/>
      <c r="D22" s="30"/>
      <c r="E22" s="30"/>
      <c r="F22" s="31"/>
    </row>
    <row r="23" spans="1:6" ht="24.5" customHeight="1" x14ac:dyDescent="0.3">
      <c r="A23" s="15">
        <v>6</v>
      </c>
      <c r="B23" s="29" t="s">
        <v>20</v>
      </c>
      <c r="C23" s="30"/>
      <c r="D23" s="30"/>
      <c r="E23" s="30"/>
      <c r="F23" s="31"/>
    </row>
    <row r="24" spans="1:6" ht="12" customHeight="1" x14ac:dyDescent="0.3">
      <c r="A24" s="15">
        <v>7</v>
      </c>
      <c r="B24" s="32" t="s">
        <v>14</v>
      </c>
      <c r="C24" s="33"/>
      <c r="D24" s="33"/>
      <c r="E24" s="33"/>
      <c r="F24" s="34"/>
    </row>
    <row r="25" spans="1:6" ht="12" customHeight="1" x14ac:dyDescent="0.3">
      <c r="A25" s="15">
        <v>8</v>
      </c>
      <c r="B25" s="44" t="s">
        <v>16</v>
      </c>
      <c r="C25" s="45"/>
      <c r="D25" s="45"/>
      <c r="E25" s="45"/>
      <c r="F25" s="46"/>
    </row>
    <row r="26" spans="1:6" ht="12" customHeight="1" x14ac:dyDescent="0.3">
      <c r="A26" s="15">
        <v>9</v>
      </c>
      <c r="B26" s="41" t="s">
        <v>15</v>
      </c>
      <c r="C26" s="42"/>
      <c r="D26" s="42"/>
      <c r="E26" s="42"/>
      <c r="F26" s="43"/>
    </row>
    <row r="27" spans="1:6" ht="12" customHeight="1" x14ac:dyDescent="0.3">
      <c r="A27" s="15">
        <v>10</v>
      </c>
      <c r="B27" s="41" t="s">
        <v>17</v>
      </c>
      <c r="C27" s="42"/>
      <c r="D27" s="42"/>
      <c r="E27" s="42"/>
      <c r="F27" s="43"/>
    </row>
    <row r="28" spans="1:6" ht="13.75" customHeight="1" x14ac:dyDescent="0.3">
      <c r="A28" s="15"/>
      <c r="B28" s="29"/>
      <c r="C28" s="30"/>
      <c r="D28" s="30"/>
      <c r="E28" s="30"/>
      <c r="F28" s="31"/>
    </row>
    <row r="29" spans="1:6" ht="21.75" customHeight="1" x14ac:dyDescent="0.3">
      <c r="A29" s="35" t="s">
        <v>36</v>
      </c>
      <c r="B29" s="36"/>
      <c r="C29" s="35" t="s">
        <v>35</v>
      </c>
      <c r="D29" s="37"/>
      <c r="E29" s="37"/>
      <c r="F29" s="36"/>
    </row>
    <row r="30" spans="1:6" ht="43.25" customHeight="1" x14ac:dyDescent="0.3">
      <c r="A30" s="38"/>
      <c r="B30" s="39"/>
      <c r="C30" s="38"/>
      <c r="D30" s="40"/>
      <c r="E30" s="40"/>
      <c r="F30" s="39"/>
    </row>
  </sheetData>
  <mergeCells count="32">
    <mergeCell ref="A1:E1"/>
    <mergeCell ref="A2:F2"/>
    <mergeCell ref="A3:D3"/>
    <mergeCell ref="E3:F3"/>
    <mergeCell ref="A4:D4"/>
    <mergeCell ref="E4:F4"/>
    <mergeCell ref="B14:C14"/>
    <mergeCell ref="B15:C15"/>
    <mergeCell ref="B16:C16"/>
    <mergeCell ref="A5:D5"/>
    <mergeCell ref="E5:F5"/>
    <mergeCell ref="A6:F6"/>
    <mergeCell ref="B13:C13"/>
    <mergeCell ref="D13:F13"/>
    <mergeCell ref="B23:F23"/>
    <mergeCell ref="A29:B29"/>
    <mergeCell ref="C29:F29"/>
    <mergeCell ref="A30:B30"/>
    <mergeCell ref="C30:F30"/>
    <mergeCell ref="B28:F28"/>
    <mergeCell ref="B27:F27"/>
    <mergeCell ref="B26:F26"/>
    <mergeCell ref="B25:F25"/>
    <mergeCell ref="B24:F24"/>
    <mergeCell ref="B17:F17"/>
    <mergeCell ref="D16:F16"/>
    <mergeCell ref="D15:F15"/>
    <mergeCell ref="B22:F22"/>
    <mergeCell ref="B21:F21"/>
    <mergeCell ref="B20:F20"/>
    <mergeCell ref="B19:F19"/>
    <mergeCell ref="B18:F18"/>
  </mergeCells>
  <hyperlinks>
    <hyperlink ref="A1" r:id="rId1" display="http://www.pramukh.co.in/" xr:uid="{00000000-0004-0000-0000-000000000000}"/>
  </hyperlinks>
  <pageMargins left="0.33" right="0.7" top="0.75" bottom="0.75" header="0.3" footer="0.3"/>
  <pageSetup paperSize="9" scale="95"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Panchal</dc:creator>
  <cp:lastModifiedBy>Purchase (Pramukh Group - Surat)</cp:lastModifiedBy>
  <cp:lastPrinted>2025-04-12T07:04:13Z</cp:lastPrinted>
  <dcterms:created xsi:type="dcterms:W3CDTF">2021-09-17T09:36:34Z</dcterms:created>
  <dcterms:modified xsi:type="dcterms:W3CDTF">2025-04-25T09:41:12Z</dcterms:modified>
</cp:coreProperties>
</file>